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3" documentId="8_{DBA0EEF9-2FEF-4F7C-AF36-9690F2AF1768}" xr6:coauthVersionLast="47" xr6:coauthVersionMax="47" xr10:uidLastSave="{1E9AF596-A201-41CD-9B20-F2FD7F2198EA}"/>
  <bookViews>
    <workbookView xWindow="38290" yWindow="-110" windowWidth="38620" windowHeight="21100" activeTab="1" xr2:uid="{641ED0CB-B6F4-4574-BA5D-9AD697C42C58}"/>
  </bookViews>
  <sheets>
    <sheet name="Standings - Detailed View" sheetId="2" r:id="rId1"/>
    <sheet name="Tabla 1" sheetId="3" r:id="rId2"/>
    <sheet name="Tabla 2" sheetId="4" r:id="rId3"/>
    <sheet name="Hoja1" sheetId="1" r:id="rId4"/>
  </sheets>
  <definedNames>
    <definedName name="DatosExternos_1" localSheetId="0" hidden="1">'Standings - Detailed View'!$A$1:$Q$33</definedName>
    <definedName name="DatosExternos_1" localSheetId="1" hidden="1">'Tabla 1'!$A$1:$A$33</definedName>
    <definedName name="DatosExternos_1" localSheetId="2" hidden="1">'Tabla 2'!$B$1:$M$33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H33" i="1"/>
  <c r="B3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C2AB4-39C8-4328-8E10-D9DD62C651E7}" keepAlive="1" name="Consulta - Standings - Detailed View" description="Conexión a la consulta 'Standings - Detailed View' en el libro." type="5" refreshedVersion="8" background="1" saveData="1">
    <dbPr connection="Provider=Microsoft.Mashup.OleDb.1;Data Source=$Workbook$;Location=&quot;Standings - Detailed View&quot;;Extended Properties=&quot;&quot;" command="SELECT * FROM [Standings - Detailed View]"/>
  </connection>
  <connection id="2" xr16:uid="{DA9A158D-BA68-4723-81ED-E24D8039D4DC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  <connection id="3" xr16:uid="{13F2CC63-4781-482B-8DCB-8FA5787D9C59}" keepAlive="1" name="Consulta - Tabla 2" description="Conexión a la consulta 'Tabla 2' en el libro." type="5" refreshedVersion="8" background="1" saveData="1">
    <dbPr connection="Provider=Microsoft.Mashup.OleDb.1;Data Source=$Workbook$;Location=&quot;Tabla 2&quot;;Extended Properties=&quot;&quot;" command="SELECT * FROM [Tabla 2]"/>
  </connection>
</connections>
</file>

<file path=xl/sharedStrings.xml><?xml version="1.0" encoding="utf-8"?>
<sst xmlns="http://schemas.openxmlformats.org/spreadsheetml/2006/main" count="485" uniqueCount="225">
  <si>
    <t>NFL Team</t>
  </si>
  <si>
    <t>W</t>
  </si>
  <si>
    <t>L</t>
  </si>
  <si>
    <t>T</t>
  </si>
  <si>
    <t>PCT</t>
  </si>
  <si>
    <t>PF</t>
  </si>
  <si>
    <t>PA</t>
  </si>
  <si>
    <t>Net Pts</t>
  </si>
  <si>
    <t>Home</t>
  </si>
  <si>
    <t>Road</t>
  </si>
  <si>
    <t>Div</t>
  </si>
  <si>
    <t>Pct.1</t>
  </si>
  <si>
    <t>Conf</t>
  </si>
  <si>
    <t>Pct_1</t>
  </si>
  <si>
    <t>Non-Conf</t>
  </si>
  <si>
    <t>Strk</t>
  </si>
  <si>
    <t>Last 5</t>
  </si>
  <si>
    <t>0 - 7 - 0</t>
  </si>
  <si>
    <t>1 - 4 - 0</t>
  </si>
  <si>
    <t>0 - 5 - 0</t>
  </si>
  <si>
    <t>1 - 5 - 0</t>
  </si>
  <si>
    <t>0 - 4 - 0</t>
  </si>
  <si>
    <t>2 - 7 - 0</t>
  </si>
  <si>
    <t>0 - 3 - 0</t>
  </si>
  <si>
    <t>6L</t>
  </si>
  <si>
    <t>2L</t>
  </si>
  <si>
    <t>2 - 3 - 0</t>
  </si>
  <si>
    <t>0 - 8 - 0</t>
  </si>
  <si>
    <t>1 - 3 - 0</t>
  </si>
  <si>
    <t>2 - 4 - 0</t>
  </si>
  <si>
    <t>3 - 6 - 0</t>
  </si>
  <si>
    <t>4L</t>
  </si>
  <si>
    <t>2 - 6 - 0</t>
  </si>
  <si>
    <t>1L</t>
  </si>
  <si>
    <t>2 - 5 - 0</t>
  </si>
  <si>
    <t>1W</t>
  </si>
  <si>
    <t>3 - 2 - 0</t>
  </si>
  <si>
    <t>1 - 6 - 0</t>
  </si>
  <si>
    <t>3 - 4 - 0</t>
  </si>
  <si>
    <t>3 - 1 - 0</t>
  </si>
  <si>
    <t>4 - 4 - 0</t>
  </si>
  <si>
    <t>2 - 2 - 0</t>
  </si>
  <si>
    <t>4 - 3 - 0</t>
  </si>
  <si>
    <t>3W</t>
  </si>
  <si>
    <t>4 - 1 - 0</t>
  </si>
  <si>
    <t>2 - 1 - 0</t>
  </si>
  <si>
    <t>5 - 1 - 0</t>
  </si>
  <si>
    <t>5 - 3 - 0</t>
  </si>
  <si>
    <t>4 - 2 - 0</t>
  </si>
  <si>
    <t>3 - 3 - 0</t>
  </si>
  <si>
    <t>6 - 2 - 0</t>
  </si>
  <si>
    <t>4W</t>
  </si>
  <si>
    <t>6 - 1 - 0</t>
  </si>
  <si>
    <t>6 - 3 - 0</t>
  </si>
  <si>
    <t>5 - 2 - 0</t>
  </si>
  <si>
    <t>4 - 0 - 0</t>
  </si>
  <si>
    <t>7 - 2 - 0</t>
  </si>
  <si>
    <t>7 - 3 - 0</t>
  </si>
  <si>
    <t>5W</t>
  </si>
  <si>
    <t>5 - 0 - 0</t>
  </si>
  <si>
    <t>8 - 2 - 0</t>
  </si>
  <si>
    <t>2W</t>
  </si>
  <si>
    <t>6 - 0 - 0</t>
  </si>
  <si>
    <t>NENew England Patriots</t>
  </si>
  <si>
    <t>CHIChicago Bears</t>
  </si>
  <si>
    <t>SEASeattle Seahawks</t>
  </si>
  <si>
    <t>GBGreen Bay Packers</t>
  </si>
  <si>
    <t>SFSan Francisco 49ers</t>
  </si>
  <si>
    <t>PHIPhiladelphia Eagles</t>
  </si>
  <si>
    <t>JAXJacksonville Jaguars</t>
  </si>
  <si>
    <t>LACLos Angeles Chargers</t>
  </si>
  <si>
    <t>INDIndianapolis Colts</t>
  </si>
  <si>
    <t>BUFBuffalo Bills</t>
  </si>
  <si>
    <t>TBTampa Bay Buccaneers</t>
  </si>
  <si>
    <t>DETDetroit Lions</t>
  </si>
  <si>
    <t>HOUHouston Texans</t>
  </si>
  <si>
    <t>DALDallas Cowboys</t>
  </si>
  <si>
    <t>CARCarolina Panthers</t>
  </si>
  <si>
    <t>BALBaltimore Ravens</t>
  </si>
  <si>
    <t>PITPittsburgh Steelers</t>
  </si>
  <si>
    <t>e --ARIArizona Cardinals</t>
  </si>
  <si>
    <t>e --LVLas Vegas Raiders</t>
  </si>
  <si>
    <t>e --NONew Orleans Saints</t>
  </si>
  <si>
    <t>e --NYGNew York Giants</t>
  </si>
  <si>
    <t>e --TENTennessee Titans</t>
  </si>
  <si>
    <t>G</t>
  </si>
  <si>
    <t>P</t>
  </si>
  <si>
    <t>E</t>
  </si>
  <si>
    <t>LOCAL</t>
  </si>
  <si>
    <t>VIS</t>
  </si>
  <si>
    <t>DIV</t>
  </si>
  <si>
    <t>CONF</t>
  </si>
  <si>
    <t>PC</t>
  </si>
  <si>
    <t>DIFP</t>
  </si>
  <si>
    <t>R</t>
  </si>
  <si>
    <t>5-2</t>
  </si>
  <si>
    <t>6-0</t>
  </si>
  <si>
    <t>6-2</t>
  </si>
  <si>
    <t>4-2</t>
  </si>
  <si>
    <t>2-1</t>
  </si>
  <si>
    <t>4-1</t>
  </si>
  <si>
    <t>G5</t>
  </si>
  <si>
    <t>5-1</t>
  </si>
  <si>
    <t>4-3</t>
  </si>
  <si>
    <t>P1</t>
  </si>
  <si>
    <t>2-2</t>
  </si>
  <si>
    <t>5-3</t>
  </si>
  <si>
    <t>G2</t>
  </si>
  <si>
    <t>G3</t>
  </si>
  <si>
    <t>3-2</t>
  </si>
  <si>
    <t>8-2</t>
  </si>
  <si>
    <t>7-3</t>
  </si>
  <si>
    <t>P2</t>
  </si>
  <si>
    <t>4-0</t>
  </si>
  <si>
    <t>7-2</t>
  </si>
  <si>
    <t>G1</t>
  </si>
  <si>
    <t>6-1</t>
  </si>
  <si>
    <t>2-3</t>
  </si>
  <si>
    <t>6-3</t>
  </si>
  <si>
    <t>3-3</t>
  </si>
  <si>
    <t>1-3</t>
  </si>
  <si>
    <t>4-4</t>
  </si>
  <si>
    <t>G4</t>
  </si>
  <si>
    <t>2-4</t>
  </si>
  <si>
    <t>3-1</t>
  </si>
  <si>
    <t>3-4</t>
  </si>
  <si>
    <t>1-5</t>
  </si>
  <si>
    <t>1-4</t>
  </si>
  <si>
    <t>2-6</t>
  </si>
  <si>
    <t>2-5</t>
  </si>
  <si>
    <t>P4</t>
  </si>
  <si>
    <t>0-4</t>
  </si>
  <si>
    <t>3-6</t>
  </si>
  <si>
    <t>1-6</t>
  </si>
  <si>
    <t>2-7</t>
  </si>
  <si>
    <t>P6</t>
  </si>
  <si>
    <t>0-8</t>
  </si>
  <si>
    <t>0-7</t>
  </si>
  <si>
    <t>0-5</t>
  </si>
  <si>
    <t>Equipos</t>
  </si>
  <si>
    <t>NFL</t>
  </si>
  <si>
    <t>Ganados</t>
  </si>
  <si>
    <t>Perdidos</t>
  </si>
  <si>
    <t>Empatados</t>
  </si>
  <si>
    <t>ESPN</t>
  </si>
  <si>
    <t>New England Patriots
      Patriots</t>
  </si>
  <si>
    <t>Seattle Seahawks
      Seahawks</t>
  </si>
  <si>
    <t>Chicago Bears
      Bears</t>
  </si>
  <si>
    <t>San Francisco 49ers
      49ers</t>
  </si>
  <si>
    <t>Green Bay Packers
      Packers</t>
  </si>
  <si>
    <t>Buffalo Bills
      Bills</t>
  </si>
  <si>
    <t>Indianapolis Colts
      Colts</t>
  </si>
  <si>
    <t>Los Angeles Chargers
      Chargers</t>
  </si>
  <si>
    <t>Philadelphia Eagles
      Eagles</t>
  </si>
  <si>
    <t>Jacksonville Jaguars
      Jaguars</t>
  </si>
  <si>
    <t>Tampa Bay Buccaneers
      Buccaneers</t>
  </si>
  <si>
    <t>Houston Texans
      Texans</t>
  </si>
  <si>
    <t>Detroit Lions
      Lions</t>
  </si>
  <si>
    <t>Carolina Panthers
      Panthers</t>
  </si>
  <si>
    <t>Dallas Cowboys
      Cowboys</t>
  </si>
  <si>
    <t>Pittsburgh Steelers
      Steelers</t>
  </si>
  <si>
    <t>Baltimore Ravens
      Ravens</t>
  </si>
  <si>
    <t>Kansas City Chiefs
      Chiefs</t>
  </si>
  <si>
    <t>Miami Dolphins
      Dolphins</t>
  </si>
  <si>
    <t>Minnesota Vikings
      Vikings</t>
  </si>
  <si>
    <t>Cincinnati Bengals
      Bengals</t>
  </si>
  <si>
    <t>Atlanta Falcons
      Falcons</t>
  </si>
  <si>
    <t>Washington Commanders
      Commanders</t>
  </si>
  <si>
    <t>New York Jets
      Jets</t>
  </si>
  <si>
    <t>Cleveland Browns
      Browns</t>
  </si>
  <si>
    <t>Arizona Cardinals
      Cardinals</t>
  </si>
  <si>
    <t>New Orleans Saints
      Saints</t>
  </si>
  <si>
    <t>Las Vegas Raiders
      Raiders</t>
  </si>
  <si>
    <t>New York Giants
      Giants</t>
  </si>
  <si>
    <t>Tennessee Titans
      Titans</t>
  </si>
  <si>
    <t>#</t>
  </si>
  <si>
    <t>Denver Broncos
      x
      Broncos
      x</t>
  </si>
  <si>
    <t>7 - 0 - 0</t>
  </si>
  <si>
    <t>11W</t>
  </si>
  <si>
    <t>Los Angeles Rams
      x
      Rams
      x</t>
  </si>
  <si>
    <t>4 - 2 - 1</t>
  </si>
  <si>
    <t>7 - 2 - 1</t>
  </si>
  <si>
    <t>6W</t>
  </si>
  <si>
    <t>6 - 4 - 0</t>
  </si>
  <si>
    <t>5 - 5 - 0</t>
  </si>
  <si>
    <t>3 - 5 - 0</t>
  </si>
  <si>
    <t>5 - 4 - 0</t>
  </si>
  <si>
    <t>3 - 6 - 1</t>
  </si>
  <si>
    <t>4 - 5 - 0</t>
  </si>
  <si>
    <t>3 - 7 - 0</t>
  </si>
  <si>
    <t>3L</t>
  </si>
  <si>
    <t>4 - 7 - 0</t>
  </si>
  <si>
    <t>4 - 6 - 0</t>
  </si>
  <si>
    <t>2 - 8 - 0</t>
  </si>
  <si>
    <t>1 - 9 - 0</t>
  </si>
  <si>
    <t>8L</t>
  </si>
  <si>
    <t>x --DENDenver Broncos</t>
  </si>
  <si>
    <t>x --LARLos Angeles Rams</t>
  </si>
  <si>
    <t>e --KCKansas City Chiefs</t>
  </si>
  <si>
    <t>e --MIAMiami Dolphins</t>
  </si>
  <si>
    <t>e --MINMinnesota Vikings</t>
  </si>
  <si>
    <t>e --ATLAtlanta Falcons</t>
  </si>
  <si>
    <t>e --CINCincinnati Bengals</t>
  </si>
  <si>
    <t>e --WSHWashington Commanders</t>
  </si>
  <si>
    <t>e --NYJNew York Jets</t>
  </si>
  <si>
    <t>e --CLECleveland Browns</t>
  </si>
  <si>
    <t>7-0</t>
  </si>
  <si>
    <t>G11</t>
  </si>
  <si>
    <t>5-0</t>
  </si>
  <si>
    <t>4-2-1</t>
  </si>
  <si>
    <t>7-2-1</t>
  </si>
  <si>
    <t>G6</t>
  </si>
  <si>
    <t>5-5</t>
  </si>
  <si>
    <t>6-4</t>
  </si>
  <si>
    <t>3-5</t>
  </si>
  <si>
    <t>5-4</t>
  </si>
  <si>
    <t>3-6-1</t>
  </si>
  <si>
    <t>P3</t>
  </si>
  <si>
    <t>3-7</t>
  </si>
  <si>
    <t>4-5</t>
  </si>
  <si>
    <t>4-6</t>
  </si>
  <si>
    <t>4-7</t>
  </si>
  <si>
    <t>2-8</t>
  </si>
  <si>
    <t>P8</t>
  </si>
  <si>
    <t>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</si>
</sst>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F18892-DD7C-47A2-B792-8E7BE9D76C1C}" autoFormatId="16" applyNumberFormats="0" applyBorderFormats="0" applyFontFormats="0" applyPatternFormats="0" applyAlignmentFormats="0" applyWidthHeightFormats="0">
  <queryTableRefresh nextId="18">
    <queryTableFields count="17">
      <queryTableField id="1" name="NFL Team" tableColumnId="1"/>
      <queryTableField id="2" name="W" tableColumnId="2"/>
      <queryTableField id="3" name="L" tableColumnId="3"/>
      <queryTableField id="4" name="T" tableColumnId="4"/>
      <queryTableField id="5" name="PCT" tableColumnId="5"/>
      <queryTableField id="6" name="PF" tableColumnId="6"/>
      <queryTableField id="7" name="PA" tableColumnId="7"/>
      <queryTableField id="8" name="Net Pts" tableColumnId="8"/>
      <queryTableField id="9" name="Home" tableColumnId="9"/>
      <queryTableField id="10" name="Road" tableColumnId="10"/>
      <queryTableField id="11" name="Div" tableColumnId="11"/>
      <queryTableField id="12" name="Pct.1" tableColumnId="12"/>
      <queryTableField id="13" name="Conf" tableColumnId="13"/>
      <queryTableField id="14" name="Pct_1" tableColumnId="14"/>
      <queryTableField id="15" name="Non-Conf" tableColumnId="15"/>
      <queryTableField id="16" name="Strk" tableColumnId="16"/>
      <queryTableField id="17" name="Last 5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A70E0F9-837C-4F0D-ABF8-F936C75E991D}" autoFormatId="16" applyNumberFormats="0" applyBorderFormats="0" applyFontFormats="0" applyPatternFormats="0" applyAlignmentFormats="0" applyWidthHeightFormats="0">
  <queryTableRefresh nextId="3">
    <queryTableFields count="1">
      <queryTableField id="2" name="Equipo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57183FA-1642-4734-8E60-500E8A5C1595}" autoFormatId="16" applyNumberFormats="0" applyBorderFormats="0" applyFontFormats="0" applyPatternFormats="0" applyAlignmentFormats="0" applyWidthHeightFormats="0">
  <queryTableRefresh nextId="13">
    <queryTableFields count="12">
      <queryTableField id="1" name="G" tableColumnId="1"/>
      <queryTableField id="2" name="P" tableColumnId="2"/>
      <queryTableField id="3" name="E" tableColumnId="3"/>
      <queryTableField id="4" name="PCT" tableColumnId="4"/>
      <queryTableField id="5" name="LOCAL" tableColumnId="5"/>
      <queryTableField id="6" name="VIS" tableColumnId="6"/>
      <queryTableField id="7" name="DIV" tableColumnId="7"/>
      <queryTableField id="8" name="CONF" tableColumnId="8"/>
      <queryTableField id="9" name="PA" tableColumnId="9"/>
      <queryTableField id="10" name="PC" tableColumnId="10"/>
      <queryTableField id="11" name="DIFP" tableColumnId="11"/>
      <queryTableField id="12" name="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C3ED7-EEC6-475C-BE8A-B277B7372B61}" name="Standings___Detailed_View" displayName="Standings___Detailed_View" ref="A1:Q33" tableType="queryTable" totalsRowShown="0">
  <autoFilter ref="A1:Q33" xr:uid="{ABEC3ED7-EEC6-475C-BE8A-B277B7372B61}"/>
  <tableColumns count="17">
    <tableColumn id="1" xr3:uid="{80D9E5B4-8D25-4A09-AB0D-7FFFC042CF16}" uniqueName="1" name="NFL Team" queryTableFieldId="1" dataDxfId="22"/>
    <tableColumn id="2" xr3:uid="{44AD9347-81E0-4646-A585-225C03120570}" uniqueName="2" name="W" queryTableFieldId="2"/>
    <tableColumn id="3" xr3:uid="{8B1EF2B8-A554-42A5-828D-DD1C2A6F4F30}" uniqueName="3" name="L" queryTableFieldId="3"/>
    <tableColumn id="4" xr3:uid="{EF55B258-DC26-494D-9643-02E599EDEB09}" uniqueName="4" name="T" queryTableFieldId="4"/>
    <tableColumn id="5" xr3:uid="{9E88C35B-64C2-4859-BA71-D5028030D91E}" uniqueName="5" name="PCT" queryTableFieldId="5"/>
    <tableColumn id="6" xr3:uid="{A395B1AE-A17F-463D-A938-AAEF489B4AC4}" uniqueName="6" name="PF" queryTableFieldId="6"/>
    <tableColumn id="7" xr3:uid="{94163241-F627-485D-8CC0-2FC5A6C85753}" uniqueName="7" name="PA" queryTableFieldId="7"/>
    <tableColumn id="8" xr3:uid="{D9C8171E-573E-4008-801D-28B606C294CA}" uniqueName="8" name="Net Pts" queryTableFieldId="8"/>
    <tableColumn id="9" xr3:uid="{DAA419BB-5C16-4C59-8386-C980FF8E7C6A}" uniqueName="9" name="Home" queryTableFieldId="9" dataDxfId="21"/>
    <tableColumn id="10" xr3:uid="{3854863A-20EA-4CE7-ACCD-C5385AD603E8}" uniqueName="10" name="Road" queryTableFieldId="10" dataDxfId="20"/>
    <tableColumn id="11" xr3:uid="{CD55F884-7A63-4AAF-B351-B31BD232B9B5}" uniqueName="11" name="Div" queryTableFieldId="11" dataDxfId="19"/>
    <tableColumn id="12" xr3:uid="{35965C3A-9FF0-44C4-A835-0BC41A59FB41}" uniqueName="12" name="Pct.1" queryTableFieldId="12"/>
    <tableColumn id="13" xr3:uid="{5093FA23-818A-48A1-808B-9896A0F02E32}" uniqueName="13" name="Conf" queryTableFieldId="13" dataDxfId="18"/>
    <tableColumn id="14" xr3:uid="{31799E33-16FD-4497-AF00-6FC8B67FBD53}" uniqueName="14" name="Pct_1" queryTableFieldId="14"/>
    <tableColumn id="15" xr3:uid="{881B2B2E-1F3F-41E3-98A0-CEC7DC531910}" uniqueName="15" name="Non-Conf" queryTableFieldId="15" dataDxfId="17"/>
    <tableColumn id="16" xr3:uid="{1F459189-FE27-4C98-B921-86237420FAB8}" uniqueName="16" name="Strk" queryTableFieldId="16" dataDxfId="16"/>
    <tableColumn id="17" xr3:uid="{727F8500-BE94-4043-85EA-BF775F60C592}" uniqueName="17" name="Last 5" queryTableFieldId="17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4D320-23B1-4FFB-8B4C-2DE51DBD3FD5}" name="Tabla_1" displayName="Tabla_1" ref="A1:A33" tableType="queryTable" totalsRowShown="0">
  <autoFilter ref="A1:A33" xr:uid="{53C4D320-23B1-4FFB-8B4C-2DE51DBD3FD5}"/>
  <tableColumns count="1">
    <tableColumn id="2" xr3:uid="{86E9EDBB-C7A4-41F8-9D67-94904305D156}" uniqueName="2" name="Equipos" queryTableFieldId="2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1FDAB-9BD1-425B-AC40-A18D84C6670A}" name="Tabla_2" displayName="Tabla_2" ref="B1:M33" tableType="queryTable" totalsRowShown="0">
  <autoFilter ref="B1:M33" xr:uid="{2B31FDAB-9BD1-425B-AC40-A18D84C6670A}"/>
  <tableColumns count="12">
    <tableColumn id="1" xr3:uid="{8BDABF81-812D-42CF-BE7A-68A4EB610F74}" uniqueName="1" name="G" queryTableFieldId="1"/>
    <tableColumn id="2" xr3:uid="{635AEEFC-032B-4129-A917-F99FB5A868F4}" uniqueName="2" name="P" queryTableFieldId="2"/>
    <tableColumn id="3" xr3:uid="{06AB4B94-5BC6-4BF7-B0E5-C26CD0F045D3}" uniqueName="3" name="E" queryTableFieldId="3"/>
    <tableColumn id="4" xr3:uid="{4EB92F83-9DE2-4D71-A397-630AB1C13148}" uniqueName="4" name="PCT" queryTableFieldId="4"/>
    <tableColumn id="5" xr3:uid="{1FBB8A69-52A9-4024-941B-D8FCD8717D07}" uniqueName="5" name="LOCAL" queryTableFieldId="5" dataDxfId="13"/>
    <tableColumn id="6" xr3:uid="{AF677B99-F908-4577-8E80-D64B3BA33B5E}" uniqueName="6" name="VIS" queryTableFieldId="6" dataDxfId="12"/>
    <tableColumn id="7" xr3:uid="{25CE7256-DC07-4BF7-B24B-2AA6F98B2669}" uniqueName="7" name="DIV" queryTableFieldId="7" dataDxfId="11"/>
    <tableColumn id="8" xr3:uid="{5BB95797-189D-4CAC-A5F3-7683F398D48A}" uniqueName="8" name="CONF" queryTableFieldId="8" dataDxfId="10"/>
    <tableColumn id="9" xr3:uid="{9B5FC9CA-D985-4B66-90B5-EBEE275A7BA0}" uniqueName="9" name="PA" queryTableFieldId="9"/>
    <tableColumn id="10" xr3:uid="{3C7C8654-7D4D-4262-8C4E-B661F11C02BE}" uniqueName="10" name="PC" queryTableFieldId="10"/>
    <tableColumn id="11" xr3:uid="{F78FB2C9-433B-4C75-B4EC-9ADA4B8B8324}" uniqueName="11" name="DIFP" queryTableFieldId="11"/>
    <tableColumn id="12" xr3:uid="{3749C5DE-6AC3-4764-8A9C-7A59CA16880B}" uniqueName="12" name="R" queryTableFieldId="12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6E0306-E7A4-43E5-97FB-F6ED7DCC122A}" name="Tabla4" displayName="Tabla4" ref="A1:E33" totalsRowShown="0" headerRowDxfId="8">
  <autoFilter ref="A1:E33" xr:uid="{5F6E0306-E7A4-43E5-97FB-F6ED7DCC122A}"/>
  <tableColumns count="5">
    <tableColumn id="5" xr3:uid="{FF633082-65CE-47DA-A163-2E16ED46D58E}" name="#" dataDxfId="7"/>
    <tableColumn id="1" xr3:uid="{7DA57655-490E-470A-9CC1-B435B86E1567}" name="NFL" dataDxfId="6">
      <calculatedColumnFormula>Standings___Detailed_View[[#This Row],[NFL Team]]</calculatedColumnFormula>
    </tableColumn>
    <tableColumn id="2" xr3:uid="{1F429543-BEAE-44E2-B744-2D518E279119}" name="Ganados" dataDxfId="5">
      <calculatedColumnFormula>Standings___Detailed_View[[#This Row],[W]]</calculatedColumnFormula>
    </tableColumn>
    <tableColumn id="3" xr3:uid="{1729E931-F449-4093-A9DC-96180DA2756F}" name="Perdidos" dataDxfId="4">
      <calculatedColumnFormula>Standings___Detailed_View[[#This Row],[L]]</calculatedColumnFormula>
    </tableColumn>
    <tableColumn id="4" xr3:uid="{CCB89448-B442-40BC-85F7-A4D8C2D66995}" name="Empatados" dataDxfId="3">
      <calculatedColumnFormula>Standings___Detailed_View[[#This Row],[T]]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798A45-8E5D-4BB3-B57C-8AE55C2CA62C}" name="Tabla5" displayName="Tabla5" ref="G1:H33" totalsRowShown="0" headerRowDxfId="2">
  <autoFilter ref="G1:H33" xr:uid="{3D798A45-8E5D-4BB3-B57C-8AE55C2CA62C}"/>
  <tableColumns count="2">
    <tableColumn id="5" xr3:uid="{1093E061-C4E4-41A1-A9E7-FCC5341E8E99}" name="#" dataDxfId="1"/>
    <tableColumn id="1" xr3:uid="{F85EB201-8617-4667-8AA1-CAD7DB93CC42}" name="ESPN" dataDxfId="0">
      <calculatedColumnFormula>Tabla_1[[#This Row],[Equipos]]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219E-349C-4806-AC14-F8846BD9FB94}">
  <dimension ref="A1:T33"/>
  <sheetViews>
    <sheetView workbookViewId="0">
      <selection activeCell="A14" sqref="A14"/>
    </sheetView>
  </sheetViews>
  <sheetFormatPr baseColWidth="10" defaultRowHeight="14.5" x14ac:dyDescent="0.35"/>
  <cols>
    <col min="1" max="1" width="44.36328125" bestFit="1" customWidth="1"/>
    <col min="2" max="2" width="4.7265625" bestFit="1" customWidth="1"/>
    <col min="3" max="4" width="4" bestFit="1" customWidth="1"/>
    <col min="5" max="5" width="6.36328125" bestFit="1" customWidth="1"/>
    <col min="6" max="6" width="5.1796875" bestFit="1" customWidth="1"/>
    <col min="7" max="7" width="5.26953125" bestFit="1" customWidth="1"/>
    <col min="8" max="8" width="9" bestFit="1" customWidth="1"/>
    <col min="9" max="9" width="8" bestFit="1" customWidth="1"/>
    <col min="10" max="10" width="7.36328125" bestFit="1" customWidth="1"/>
    <col min="11" max="11" width="6.54296875" bestFit="1" customWidth="1"/>
    <col min="12" max="12" width="7.36328125" bestFit="1" customWidth="1"/>
    <col min="13" max="13" width="7.08984375" bestFit="1" customWidth="1"/>
    <col min="14" max="14" width="7.6328125" bestFit="1" customWidth="1"/>
    <col min="15" max="15" width="11.08984375" bestFit="1" customWidth="1"/>
    <col min="16" max="16" width="6.453125" bestFit="1" customWidth="1"/>
    <col min="17" max="17" width="7.9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0" x14ac:dyDescent="0.35">
      <c r="A2" t="s">
        <v>176</v>
      </c>
      <c r="B2">
        <v>12</v>
      </c>
      <c r="C2">
        <v>2</v>
      </c>
      <c r="D2">
        <v>0</v>
      </c>
      <c r="E2">
        <v>0.85699999999999998</v>
      </c>
      <c r="F2">
        <v>342</v>
      </c>
      <c r="G2">
        <v>261</v>
      </c>
      <c r="H2">
        <v>81</v>
      </c>
      <c r="I2" t="s">
        <v>177</v>
      </c>
      <c r="J2" t="s">
        <v>54</v>
      </c>
      <c r="K2" t="s">
        <v>39</v>
      </c>
      <c r="L2">
        <v>0.75</v>
      </c>
      <c r="M2" t="s">
        <v>56</v>
      </c>
      <c r="N2">
        <v>0.77800000000000002</v>
      </c>
      <c r="O2" t="s">
        <v>59</v>
      </c>
      <c r="P2" t="s">
        <v>178</v>
      </c>
      <c r="Q2" t="s">
        <v>59</v>
      </c>
      <c r="T2" t="str">
        <f>Standings___Detailed_View[[#This Row],[NFL Team]]</f>
        <v>Denver Broncos
      x
      Broncos
      x</v>
      </c>
    </row>
    <row r="3" spans="1:20" x14ac:dyDescent="0.35">
      <c r="A3" t="s">
        <v>145</v>
      </c>
      <c r="B3">
        <v>11</v>
      </c>
      <c r="C3">
        <v>3</v>
      </c>
      <c r="D3">
        <v>0</v>
      </c>
      <c r="E3">
        <v>0.78600000000000003</v>
      </c>
      <c r="F3">
        <v>382</v>
      </c>
      <c r="G3">
        <v>276</v>
      </c>
      <c r="H3">
        <v>106</v>
      </c>
      <c r="I3" t="s">
        <v>47</v>
      </c>
      <c r="J3" t="s">
        <v>62</v>
      </c>
      <c r="K3" t="s">
        <v>39</v>
      </c>
      <c r="L3">
        <v>0.75</v>
      </c>
      <c r="M3" t="s">
        <v>53</v>
      </c>
      <c r="N3">
        <v>0.66700000000000004</v>
      </c>
      <c r="O3" t="s">
        <v>59</v>
      </c>
      <c r="P3" t="s">
        <v>33</v>
      </c>
      <c r="Q3" t="s">
        <v>44</v>
      </c>
      <c r="T3" t="str">
        <f>Standings___Detailed_View[[#This Row],[NFL Team]]</f>
        <v>New England Patriots
      Patriots</v>
      </c>
    </row>
    <row r="4" spans="1:20" x14ac:dyDescent="0.35">
      <c r="A4" t="s">
        <v>179</v>
      </c>
      <c r="B4">
        <v>11</v>
      </c>
      <c r="C4">
        <v>3</v>
      </c>
      <c r="D4">
        <v>0</v>
      </c>
      <c r="E4">
        <v>0.78600000000000003</v>
      </c>
      <c r="F4">
        <v>420</v>
      </c>
      <c r="G4">
        <v>261</v>
      </c>
      <c r="H4">
        <v>159</v>
      </c>
      <c r="I4" t="s">
        <v>52</v>
      </c>
      <c r="J4" t="s">
        <v>54</v>
      </c>
      <c r="K4" t="s">
        <v>39</v>
      </c>
      <c r="L4">
        <v>0.75</v>
      </c>
      <c r="M4" t="s">
        <v>53</v>
      </c>
      <c r="N4">
        <v>0.66700000000000004</v>
      </c>
      <c r="O4" t="s">
        <v>59</v>
      </c>
      <c r="P4" t="s">
        <v>61</v>
      </c>
      <c r="Q4" t="s">
        <v>44</v>
      </c>
      <c r="T4" t="str">
        <f>Standings___Detailed_View[[#This Row],[NFL Team]]</f>
        <v>Los Angeles Rams
      x
      Rams
      x</v>
      </c>
    </row>
    <row r="5" spans="1:20" x14ac:dyDescent="0.35">
      <c r="A5" t="s">
        <v>146</v>
      </c>
      <c r="B5">
        <v>11</v>
      </c>
      <c r="C5">
        <v>3</v>
      </c>
      <c r="D5">
        <v>0</v>
      </c>
      <c r="E5">
        <v>0.78600000000000003</v>
      </c>
      <c r="F5">
        <v>405</v>
      </c>
      <c r="G5">
        <v>242</v>
      </c>
      <c r="H5">
        <v>163</v>
      </c>
      <c r="I5" t="s">
        <v>54</v>
      </c>
      <c r="J5" t="s">
        <v>52</v>
      </c>
      <c r="K5" t="s">
        <v>41</v>
      </c>
      <c r="L5">
        <v>0.5</v>
      </c>
      <c r="M5" t="s">
        <v>53</v>
      </c>
      <c r="N5">
        <v>0.66700000000000004</v>
      </c>
      <c r="O5" t="s">
        <v>59</v>
      </c>
      <c r="P5" t="s">
        <v>51</v>
      </c>
      <c r="Q5" t="s">
        <v>44</v>
      </c>
      <c r="T5" t="str">
        <f>Standings___Detailed_View[[#This Row],[NFL Team]]</f>
        <v>Seattle Seahawks
      Seahawks</v>
      </c>
    </row>
    <row r="6" spans="1:20" x14ac:dyDescent="0.35">
      <c r="A6" t="s">
        <v>148</v>
      </c>
      <c r="B6">
        <v>10</v>
      </c>
      <c r="C6">
        <v>4</v>
      </c>
      <c r="D6">
        <v>0</v>
      </c>
      <c r="E6">
        <v>0.71399999999999997</v>
      </c>
      <c r="F6">
        <v>344</v>
      </c>
      <c r="G6">
        <v>293</v>
      </c>
      <c r="H6">
        <v>51</v>
      </c>
      <c r="I6" t="s">
        <v>48</v>
      </c>
      <c r="J6" t="s">
        <v>50</v>
      </c>
      <c r="K6" t="s">
        <v>44</v>
      </c>
      <c r="L6">
        <v>0.8</v>
      </c>
      <c r="M6" t="s">
        <v>60</v>
      </c>
      <c r="N6">
        <v>0.8</v>
      </c>
      <c r="O6" t="s">
        <v>41</v>
      </c>
      <c r="P6" t="s">
        <v>51</v>
      </c>
      <c r="Q6" t="s">
        <v>44</v>
      </c>
      <c r="T6" t="str">
        <f>Standings___Detailed_View[[#This Row],[NFL Team]]</f>
        <v>San Francisco 49ers
      49ers</v>
      </c>
    </row>
    <row r="7" spans="1:20" x14ac:dyDescent="0.35">
      <c r="A7" t="s">
        <v>152</v>
      </c>
      <c r="B7">
        <v>10</v>
      </c>
      <c r="C7">
        <v>4</v>
      </c>
      <c r="D7">
        <v>0</v>
      </c>
      <c r="E7">
        <v>0.71399999999999997</v>
      </c>
      <c r="F7">
        <v>315</v>
      </c>
      <c r="G7">
        <v>284</v>
      </c>
      <c r="H7">
        <v>31</v>
      </c>
      <c r="I7" t="s">
        <v>50</v>
      </c>
      <c r="J7" t="s">
        <v>48</v>
      </c>
      <c r="K7" t="s">
        <v>59</v>
      </c>
      <c r="L7">
        <v>1</v>
      </c>
      <c r="M7" t="s">
        <v>60</v>
      </c>
      <c r="N7">
        <v>0.8</v>
      </c>
      <c r="O7" t="s">
        <v>41</v>
      </c>
      <c r="P7" t="s">
        <v>43</v>
      </c>
      <c r="Q7" t="s">
        <v>44</v>
      </c>
      <c r="T7" t="str">
        <f>Standings___Detailed_View[[#This Row],[NFL Team]]</f>
        <v>Los Angeles Chargers
      Chargers</v>
      </c>
    </row>
    <row r="8" spans="1:20" x14ac:dyDescent="0.35">
      <c r="A8" t="s">
        <v>154</v>
      </c>
      <c r="B8">
        <v>10</v>
      </c>
      <c r="C8">
        <v>4</v>
      </c>
      <c r="D8">
        <v>0</v>
      </c>
      <c r="E8">
        <v>0.71399999999999997</v>
      </c>
      <c r="F8">
        <v>376</v>
      </c>
      <c r="G8">
        <v>292</v>
      </c>
      <c r="H8">
        <v>84</v>
      </c>
      <c r="I8" t="s">
        <v>50</v>
      </c>
      <c r="J8" t="s">
        <v>48</v>
      </c>
      <c r="K8" t="s">
        <v>39</v>
      </c>
      <c r="L8">
        <v>0.75</v>
      </c>
      <c r="M8" t="s">
        <v>56</v>
      </c>
      <c r="N8">
        <v>0.77800000000000002</v>
      </c>
      <c r="O8" t="s">
        <v>36</v>
      </c>
      <c r="P8" t="s">
        <v>58</v>
      </c>
      <c r="Q8" t="s">
        <v>59</v>
      </c>
      <c r="T8" t="str">
        <f>Standings___Detailed_View[[#This Row],[NFL Team]]</f>
        <v>Jacksonville Jaguars
      Jaguars</v>
      </c>
    </row>
    <row r="9" spans="1:20" x14ac:dyDescent="0.35">
      <c r="A9" t="s">
        <v>147</v>
      </c>
      <c r="B9">
        <v>10</v>
      </c>
      <c r="C9">
        <v>4</v>
      </c>
      <c r="D9">
        <v>0</v>
      </c>
      <c r="E9">
        <v>0.71399999999999997</v>
      </c>
      <c r="F9">
        <v>365</v>
      </c>
      <c r="G9">
        <v>338</v>
      </c>
      <c r="H9">
        <v>27</v>
      </c>
      <c r="I9" t="s">
        <v>46</v>
      </c>
      <c r="J9" t="s">
        <v>47</v>
      </c>
      <c r="K9" t="s">
        <v>28</v>
      </c>
      <c r="L9">
        <v>0.25</v>
      </c>
      <c r="M9" t="s">
        <v>53</v>
      </c>
      <c r="N9">
        <v>0.66700000000000004</v>
      </c>
      <c r="O9" t="s">
        <v>44</v>
      </c>
      <c r="P9" t="s">
        <v>35</v>
      </c>
      <c r="Q9" t="s">
        <v>44</v>
      </c>
      <c r="T9" t="str">
        <f>Standings___Detailed_View[[#This Row],[NFL Team]]</f>
        <v>Chicago Bears
      Bears</v>
      </c>
    </row>
    <row r="10" spans="1:20" x14ac:dyDescent="0.35">
      <c r="A10" t="s">
        <v>150</v>
      </c>
      <c r="B10">
        <v>10</v>
      </c>
      <c r="C10">
        <v>4</v>
      </c>
      <c r="D10">
        <v>0</v>
      </c>
      <c r="E10">
        <v>0.71399999999999997</v>
      </c>
      <c r="F10">
        <v>411</v>
      </c>
      <c r="G10">
        <v>324</v>
      </c>
      <c r="H10">
        <v>87</v>
      </c>
      <c r="I10" t="s">
        <v>52</v>
      </c>
      <c r="J10" t="s">
        <v>42</v>
      </c>
      <c r="K10" t="s">
        <v>36</v>
      </c>
      <c r="L10">
        <v>0.6</v>
      </c>
      <c r="M10" t="s">
        <v>57</v>
      </c>
      <c r="N10">
        <v>0.7</v>
      </c>
      <c r="O10" t="s">
        <v>39</v>
      </c>
      <c r="P10" t="s">
        <v>43</v>
      </c>
      <c r="Q10" t="s">
        <v>44</v>
      </c>
      <c r="T10" t="str">
        <f>Standings___Detailed_View[[#This Row],[NFL Team]]</f>
        <v>Buffalo Bills
      Bills</v>
      </c>
    </row>
    <row r="11" spans="1:20" x14ac:dyDescent="0.35">
      <c r="A11" t="s">
        <v>149</v>
      </c>
      <c r="B11">
        <v>9</v>
      </c>
      <c r="C11">
        <v>4</v>
      </c>
      <c r="D11">
        <v>1</v>
      </c>
      <c r="E11">
        <v>0.67900000000000005</v>
      </c>
      <c r="F11">
        <v>348</v>
      </c>
      <c r="G11">
        <v>281</v>
      </c>
      <c r="H11">
        <v>67</v>
      </c>
      <c r="I11" t="s">
        <v>54</v>
      </c>
      <c r="J11" t="s">
        <v>180</v>
      </c>
      <c r="K11" t="s">
        <v>55</v>
      </c>
      <c r="L11">
        <v>1</v>
      </c>
      <c r="M11" t="s">
        <v>181</v>
      </c>
      <c r="N11">
        <v>0.75</v>
      </c>
      <c r="O11" t="s">
        <v>41</v>
      </c>
      <c r="P11" t="s">
        <v>33</v>
      </c>
      <c r="Q11" t="s">
        <v>44</v>
      </c>
      <c r="T11" t="str">
        <f>Standings___Detailed_View[[#This Row],[NFL Team]]</f>
        <v>Green Bay Packers
      Packers</v>
      </c>
    </row>
    <row r="12" spans="1:20" x14ac:dyDescent="0.35">
      <c r="A12" t="s">
        <v>153</v>
      </c>
      <c r="B12">
        <v>9</v>
      </c>
      <c r="C12">
        <v>5</v>
      </c>
      <c r="D12">
        <v>0</v>
      </c>
      <c r="E12">
        <v>0.64300000000000002</v>
      </c>
      <c r="F12">
        <v>320</v>
      </c>
      <c r="G12">
        <v>271</v>
      </c>
      <c r="H12">
        <v>49</v>
      </c>
      <c r="I12" t="s">
        <v>54</v>
      </c>
      <c r="J12" t="s">
        <v>42</v>
      </c>
      <c r="K12" t="s">
        <v>41</v>
      </c>
      <c r="L12">
        <v>0.5</v>
      </c>
      <c r="M12" t="s">
        <v>57</v>
      </c>
      <c r="N12">
        <v>0.7</v>
      </c>
      <c r="O12" t="s">
        <v>41</v>
      </c>
      <c r="P12" t="s">
        <v>35</v>
      </c>
      <c r="Q12" t="s">
        <v>26</v>
      </c>
      <c r="T12" t="str">
        <f>Standings___Detailed_View[[#This Row],[NFL Team]]</f>
        <v>Philadelphia Eagles
      Eagles</v>
      </c>
    </row>
    <row r="13" spans="1:20" x14ac:dyDescent="0.35">
      <c r="A13" t="s">
        <v>156</v>
      </c>
      <c r="B13">
        <v>9</v>
      </c>
      <c r="C13">
        <v>5</v>
      </c>
      <c r="D13">
        <v>0</v>
      </c>
      <c r="E13">
        <v>0.64300000000000002</v>
      </c>
      <c r="F13">
        <v>323</v>
      </c>
      <c r="G13">
        <v>228</v>
      </c>
      <c r="H13">
        <v>95</v>
      </c>
      <c r="I13" t="s">
        <v>54</v>
      </c>
      <c r="J13" t="s">
        <v>42</v>
      </c>
      <c r="K13" t="s">
        <v>44</v>
      </c>
      <c r="L13">
        <v>0.8</v>
      </c>
      <c r="M13" t="s">
        <v>56</v>
      </c>
      <c r="N13">
        <v>0.77800000000000002</v>
      </c>
      <c r="O13" t="s">
        <v>26</v>
      </c>
      <c r="P13" t="s">
        <v>182</v>
      </c>
      <c r="Q13" t="s">
        <v>59</v>
      </c>
      <c r="T13" t="str">
        <f>Standings___Detailed_View[[#This Row],[NFL Team]]</f>
        <v>Houston Texans
      Texans</v>
      </c>
    </row>
    <row r="14" spans="1:20" x14ac:dyDescent="0.35">
      <c r="A14" t="s">
        <v>160</v>
      </c>
      <c r="B14">
        <v>8</v>
      </c>
      <c r="C14">
        <v>6</v>
      </c>
      <c r="D14">
        <v>0</v>
      </c>
      <c r="E14">
        <v>0.57099999999999995</v>
      </c>
      <c r="F14">
        <v>336</v>
      </c>
      <c r="G14">
        <v>326</v>
      </c>
      <c r="H14">
        <v>10</v>
      </c>
      <c r="I14" t="s">
        <v>47</v>
      </c>
      <c r="J14" t="s">
        <v>49</v>
      </c>
      <c r="K14" t="s">
        <v>39</v>
      </c>
      <c r="L14">
        <v>0.75</v>
      </c>
      <c r="M14" t="s">
        <v>57</v>
      </c>
      <c r="N14">
        <v>0.7</v>
      </c>
      <c r="O14" t="s">
        <v>28</v>
      </c>
      <c r="P14" t="s">
        <v>61</v>
      </c>
      <c r="Q14" t="s">
        <v>36</v>
      </c>
      <c r="T14" t="str">
        <f>Standings___Detailed_View[[#This Row],[NFL Team]]</f>
        <v>Pittsburgh Steelers
      Steelers</v>
      </c>
    </row>
    <row r="15" spans="1:20" x14ac:dyDescent="0.35">
      <c r="A15" t="s">
        <v>151</v>
      </c>
      <c r="B15">
        <v>8</v>
      </c>
      <c r="C15">
        <v>6</v>
      </c>
      <c r="D15">
        <v>0</v>
      </c>
      <c r="E15">
        <v>0.57099999999999995</v>
      </c>
      <c r="F15">
        <v>392</v>
      </c>
      <c r="G15">
        <v>303</v>
      </c>
      <c r="H15">
        <v>89</v>
      </c>
      <c r="I15" t="s">
        <v>52</v>
      </c>
      <c r="J15" t="s">
        <v>34</v>
      </c>
      <c r="K15" t="s">
        <v>41</v>
      </c>
      <c r="L15">
        <v>0.5</v>
      </c>
      <c r="M15" t="s">
        <v>183</v>
      </c>
      <c r="N15">
        <v>0.6</v>
      </c>
      <c r="O15" t="s">
        <v>41</v>
      </c>
      <c r="P15" t="s">
        <v>31</v>
      </c>
      <c r="Q15" t="s">
        <v>18</v>
      </c>
      <c r="T15" t="str">
        <f>Standings___Detailed_View[[#This Row],[NFL Team]]</f>
        <v>Indianapolis Colts
      Colts</v>
      </c>
    </row>
    <row r="16" spans="1:20" x14ac:dyDescent="0.35">
      <c r="A16" t="s">
        <v>157</v>
      </c>
      <c r="B16">
        <v>8</v>
      </c>
      <c r="C16">
        <v>6</v>
      </c>
      <c r="D16">
        <v>0</v>
      </c>
      <c r="E16">
        <v>0.57099999999999995</v>
      </c>
      <c r="F16">
        <v>428</v>
      </c>
      <c r="G16">
        <v>345</v>
      </c>
      <c r="H16">
        <v>83</v>
      </c>
      <c r="I16" t="s">
        <v>54</v>
      </c>
      <c r="J16" t="s">
        <v>38</v>
      </c>
      <c r="K16" t="s">
        <v>28</v>
      </c>
      <c r="L16">
        <v>0.25</v>
      </c>
      <c r="M16" t="s">
        <v>184</v>
      </c>
      <c r="N16">
        <v>0.5</v>
      </c>
      <c r="O16" t="s">
        <v>39</v>
      </c>
      <c r="P16" t="s">
        <v>33</v>
      </c>
      <c r="Q16" t="s">
        <v>26</v>
      </c>
      <c r="T16" t="str">
        <f>Standings___Detailed_View[[#This Row],[NFL Team]]</f>
        <v>Detroit Lions
      Lions</v>
      </c>
    </row>
    <row r="17" spans="1:20" x14ac:dyDescent="0.35">
      <c r="A17" t="s">
        <v>155</v>
      </c>
      <c r="B17">
        <v>7</v>
      </c>
      <c r="C17">
        <v>7</v>
      </c>
      <c r="D17">
        <v>0</v>
      </c>
      <c r="E17">
        <v>0.5</v>
      </c>
      <c r="F17">
        <v>327</v>
      </c>
      <c r="G17">
        <v>354</v>
      </c>
      <c r="H17">
        <v>-27</v>
      </c>
      <c r="I17" t="s">
        <v>38</v>
      </c>
      <c r="J17" t="s">
        <v>42</v>
      </c>
      <c r="K17" t="s">
        <v>41</v>
      </c>
      <c r="L17">
        <v>0.5</v>
      </c>
      <c r="M17" t="s">
        <v>184</v>
      </c>
      <c r="N17">
        <v>0.5</v>
      </c>
      <c r="O17" t="s">
        <v>41</v>
      </c>
      <c r="P17" t="s">
        <v>25</v>
      </c>
      <c r="Q17" t="s">
        <v>18</v>
      </c>
      <c r="T17" t="str">
        <f>Standings___Detailed_View[[#This Row],[NFL Team]]</f>
        <v>Tampa Bay Buccaneers
      Buccaneers</v>
      </c>
    </row>
    <row r="18" spans="1:20" x14ac:dyDescent="0.35">
      <c r="A18" t="s">
        <v>158</v>
      </c>
      <c r="B18">
        <v>7</v>
      </c>
      <c r="C18">
        <v>7</v>
      </c>
      <c r="D18">
        <v>0</v>
      </c>
      <c r="E18">
        <v>0.5</v>
      </c>
      <c r="F18">
        <v>264</v>
      </c>
      <c r="G18">
        <v>317</v>
      </c>
      <c r="H18">
        <v>-53</v>
      </c>
      <c r="I18" t="s">
        <v>48</v>
      </c>
      <c r="J18" t="s">
        <v>185</v>
      </c>
      <c r="K18" t="s">
        <v>41</v>
      </c>
      <c r="L18">
        <v>0.5</v>
      </c>
      <c r="M18" t="s">
        <v>186</v>
      </c>
      <c r="N18">
        <v>0.55600000000000005</v>
      </c>
      <c r="O18" t="s">
        <v>26</v>
      </c>
      <c r="P18" t="s">
        <v>33</v>
      </c>
      <c r="Q18" t="s">
        <v>26</v>
      </c>
      <c r="T18" t="str">
        <f>Standings___Detailed_View[[#This Row],[NFL Team]]</f>
        <v>Carolina Panthers
      Panthers</v>
      </c>
    </row>
    <row r="19" spans="1:20" x14ac:dyDescent="0.35">
      <c r="A19" t="s">
        <v>161</v>
      </c>
      <c r="B19">
        <v>7</v>
      </c>
      <c r="C19">
        <v>7</v>
      </c>
      <c r="D19">
        <v>0</v>
      </c>
      <c r="E19">
        <v>0.5</v>
      </c>
      <c r="F19">
        <v>335</v>
      </c>
      <c r="G19">
        <v>320</v>
      </c>
      <c r="H19">
        <v>15</v>
      </c>
      <c r="I19" t="s">
        <v>185</v>
      </c>
      <c r="J19" t="s">
        <v>48</v>
      </c>
      <c r="K19" t="s">
        <v>36</v>
      </c>
      <c r="L19">
        <v>0.6</v>
      </c>
      <c r="M19" t="s">
        <v>184</v>
      </c>
      <c r="N19">
        <v>0.5</v>
      </c>
      <c r="O19" t="s">
        <v>41</v>
      </c>
      <c r="P19" t="s">
        <v>35</v>
      </c>
      <c r="Q19" t="s">
        <v>36</v>
      </c>
      <c r="T19" t="str">
        <f>Standings___Detailed_View[[#This Row],[NFL Team]]</f>
        <v>Baltimore Ravens
      Ravens</v>
      </c>
    </row>
    <row r="20" spans="1:20" x14ac:dyDescent="0.35">
      <c r="A20" t="s">
        <v>159</v>
      </c>
      <c r="B20">
        <v>6</v>
      </c>
      <c r="C20">
        <v>7</v>
      </c>
      <c r="D20">
        <v>1</v>
      </c>
      <c r="E20">
        <v>0.46400000000000002</v>
      </c>
      <c r="F20">
        <v>407</v>
      </c>
      <c r="G20">
        <v>420</v>
      </c>
      <c r="H20">
        <v>-13</v>
      </c>
      <c r="I20" t="s">
        <v>180</v>
      </c>
      <c r="J20" t="s">
        <v>34</v>
      </c>
      <c r="K20" t="s">
        <v>39</v>
      </c>
      <c r="L20">
        <v>0.75</v>
      </c>
      <c r="M20" t="s">
        <v>187</v>
      </c>
      <c r="N20">
        <v>0.35</v>
      </c>
      <c r="O20" t="s">
        <v>39</v>
      </c>
      <c r="P20" t="s">
        <v>25</v>
      </c>
      <c r="Q20" t="s">
        <v>36</v>
      </c>
      <c r="T20" t="str">
        <f>Standings___Detailed_View[[#This Row],[NFL Team]]</f>
        <v>Dallas Cowboys
      Cowboys</v>
      </c>
    </row>
    <row r="21" spans="1:20" x14ac:dyDescent="0.35">
      <c r="A21" t="s">
        <v>164</v>
      </c>
      <c r="B21">
        <v>6</v>
      </c>
      <c r="C21">
        <v>8</v>
      </c>
      <c r="D21">
        <v>0</v>
      </c>
      <c r="E21">
        <v>0.42899999999999999</v>
      </c>
      <c r="F21">
        <v>289</v>
      </c>
      <c r="G21">
        <v>307</v>
      </c>
      <c r="H21">
        <v>-18</v>
      </c>
      <c r="I21" t="s">
        <v>29</v>
      </c>
      <c r="J21" t="s">
        <v>40</v>
      </c>
      <c r="K21" t="s">
        <v>41</v>
      </c>
      <c r="L21">
        <v>0.5</v>
      </c>
      <c r="M21" t="s">
        <v>188</v>
      </c>
      <c r="N21">
        <v>0.44400000000000001</v>
      </c>
      <c r="O21" t="s">
        <v>26</v>
      </c>
      <c r="P21" t="s">
        <v>61</v>
      </c>
      <c r="Q21" t="s">
        <v>26</v>
      </c>
      <c r="T21" t="str">
        <f>Standings___Detailed_View[[#This Row],[NFL Team]]</f>
        <v>Minnesota Vikings
      Vikings</v>
      </c>
    </row>
    <row r="22" spans="1:20" x14ac:dyDescent="0.35">
      <c r="A22" t="s">
        <v>163</v>
      </c>
      <c r="B22">
        <v>6</v>
      </c>
      <c r="C22">
        <v>8</v>
      </c>
      <c r="D22">
        <v>0</v>
      </c>
      <c r="E22">
        <v>0.42899999999999999</v>
      </c>
      <c r="F22">
        <v>296</v>
      </c>
      <c r="G22">
        <v>324</v>
      </c>
      <c r="H22">
        <v>-28</v>
      </c>
      <c r="I22" t="s">
        <v>42</v>
      </c>
      <c r="J22" t="s">
        <v>34</v>
      </c>
      <c r="K22" t="s">
        <v>36</v>
      </c>
      <c r="L22">
        <v>0.6</v>
      </c>
      <c r="M22" t="s">
        <v>189</v>
      </c>
      <c r="N22">
        <v>0.3</v>
      </c>
      <c r="O22" t="s">
        <v>39</v>
      </c>
      <c r="P22" t="s">
        <v>33</v>
      </c>
      <c r="Q22" t="s">
        <v>44</v>
      </c>
      <c r="T22" t="str">
        <f>Standings___Detailed_View[[#This Row],[NFL Team]]</f>
        <v>Miami Dolphins
      Dolphins</v>
      </c>
    </row>
    <row r="23" spans="1:20" x14ac:dyDescent="0.35">
      <c r="A23" t="s">
        <v>162</v>
      </c>
      <c r="B23">
        <v>6</v>
      </c>
      <c r="C23">
        <v>8</v>
      </c>
      <c r="D23">
        <v>0</v>
      </c>
      <c r="E23">
        <v>0.42899999999999999</v>
      </c>
      <c r="F23">
        <v>328</v>
      </c>
      <c r="G23">
        <v>268</v>
      </c>
      <c r="H23">
        <v>60</v>
      </c>
      <c r="I23" t="s">
        <v>47</v>
      </c>
      <c r="J23" t="s">
        <v>20</v>
      </c>
      <c r="K23" t="s">
        <v>28</v>
      </c>
      <c r="L23">
        <v>0.25</v>
      </c>
      <c r="M23" t="s">
        <v>30</v>
      </c>
      <c r="N23">
        <v>0.33300000000000002</v>
      </c>
      <c r="O23" t="s">
        <v>36</v>
      </c>
      <c r="P23" t="s">
        <v>190</v>
      </c>
      <c r="Q23" t="s">
        <v>18</v>
      </c>
      <c r="T23" t="str">
        <f>Standings___Detailed_View[[#This Row],[NFL Team]]</f>
        <v>Kansas City Chiefs
      Chiefs</v>
      </c>
    </row>
    <row r="24" spans="1:20" x14ac:dyDescent="0.35">
      <c r="A24" t="s">
        <v>166</v>
      </c>
      <c r="B24">
        <v>5</v>
      </c>
      <c r="C24">
        <v>9</v>
      </c>
      <c r="D24">
        <v>0</v>
      </c>
      <c r="E24">
        <v>0.35699999999999998</v>
      </c>
      <c r="F24">
        <v>281</v>
      </c>
      <c r="G24">
        <v>341</v>
      </c>
      <c r="H24">
        <v>-60</v>
      </c>
      <c r="I24" t="s">
        <v>29</v>
      </c>
      <c r="J24" t="s">
        <v>185</v>
      </c>
      <c r="K24" t="s">
        <v>26</v>
      </c>
      <c r="L24">
        <v>0.4</v>
      </c>
      <c r="M24" t="s">
        <v>188</v>
      </c>
      <c r="N24">
        <v>0.44400000000000001</v>
      </c>
      <c r="O24" t="s">
        <v>18</v>
      </c>
      <c r="P24" t="s">
        <v>35</v>
      </c>
      <c r="Q24" t="s">
        <v>26</v>
      </c>
      <c r="T24" t="str">
        <f>Standings___Detailed_View[[#This Row],[NFL Team]]</f>
        <v>Atlanta Falcons
      Falcons</v>
      </c>
    </row>
    <row r="25" spans="1:20" x14ac:dyDescent="0.35">
      <c r="A25" t="s">
        <v>167</v>
      </c>
      <c r="B25">
        <v>4</v>
      </c>
      <c r="C25">
        <v>10</v>
      </c>
      <c r="D25">
        <v>0</v>
      </c>
      <c r="E25">
        <v>0.28599999999999998</v>
      </c>
      <c r="F25">
        <v>291</v>
      </c>
      <c r="G25">
        <v>375</v>
      </c>
      <c r="H25">
        <v>-84</v>
      </c>
      <c r="I25" t="s">
        <v>29</v>
      </c>
      <c r="J25" t="s">
        <v>32</v>
      </c>
      <c r="K25" t="s">
        <v>45</v>
      </c>
      <c r="L25">
        <v>0.66700000000000004</v>
      </c>
      <c r="M25" t="s">
        <v>22</v>
      </c>
      <c r="N25">
        <v>0.222</v>
      </c>
      <c r="O25" t="s">
        <v>26</v>
      </c>
      <c r="P25" t="s">
        <v>35</v>
      </c>
      <c r="Q25" t="s">
        <v>18</v>
      </c>
      <c r="T25" t="str">
        <f>Standings___Detailed_View[[#This Row],[NFL Team]]</f>
        <v>Washington Commanders
      Commanders</v>
      </c>
    </row>
    <row r="26" spans="1:20" x14ac:dyDescent="0.35">
      <c r="A26" t="s">
        <v>171</v>
      </c>
      <c r="B26">
        <v>4</v>
      </c>
      <c r="C26">
        <v>10</v>
      </c>
      <c r="D26">
        <v>0</v>
      </c>
      <c r="E26">
        <v>0.28599999999999998</v>
      </c>
      <c r="F26">
        <v>226</v>
      </c>
      <c r="G26">
        <v>332</v>
      </c>
      <c r="H26">
        <v>-106</v>
      </c>
      <c r="I26" t="s">
        <v>34</v>
      </c>
      <c r="J26" t="s">
        <v>34</v>
      </c>
      <c r="K26" t="s">
        <v>36</v>
      </c>
      <c r="L26">
        <v>0.6</v>
      </c>
      <c r="M26" t="s">
        <v>191</v>
      </c>
      <c r="N26">
        <v>0.36399999999999999</v>
      </c>
      <c r="O26" t="s">
        <v>23</v>
      </c>
      <c r="P26" t="s">
        <v>61</v>
      </c>
      <c r="Q26" t="s">
        <v>36</v>
      </c>
      <c r="T26" t="str">
        <f>Standings___Detailed_View[[#This Row],[NFL Team]]</f>
        <v>New Orleans Saints
      Saints</v>
      </c>
    </row>
    <row r="27" spans="1:20" x14ac:dyDescent="0.35">
      <c r="A27" t="s">
        <v>165</v>
      </c>
      <c r="B27">
        <v>4</v>
      </c>
      <c r="C27">
        <v>10</v>
      </c>
      <c r="D27">
        <v>0</v>
      </c>
      <c r="E27">
        <v>0.28599999999999998</v>
      </c>
      <c r="F27">
        <v>314</v>
      </c>
      <c r="G27">
        <v>437</v>
      </c>
      <c r="H27">
        <v>-123</v>
      </c>
      <c r="I27" t="s">
        <v>34</v>
      </c>
      <c r="J27" t="s">
        <v>34</v>
      </c>
      <c r="K27" t="s">
        <v>36</v>
      </c>
      <c r="L27">
        <v>0.6</v>
      </c>
      <c r="M27" t="s">
        <v>192</v>
      </c>
      <c r="N27">
        <v>0.4</v>
      </c>
      <c r="O27" t="s">
        <v>21</v>
      </c>
      <c r="P27" t="s">
        <v>25</v>
      </c>
      <c r="Q27" t="s">
        <v>18</v>
      </c>
      <c r="T27" t="str">
        <f>Standings___Detailed_View[[#This Row],[NFL Team]]</f>
        <v>Cincinnati Bengals
      Bengals</v>
      </c>
    </row>
    <row r="28" spans="1:20" x14ac:dyDescent="0.35">
      <c r="A28" t="s">
        <v>168</v>
      </c>
      <c r="B28">
        <v>3</v>
      </c>
      <c r="C28">
        <v>11</v>
      </c>
      <c r="D28">
        <v>0</v>
      </c>
      <c r="E28">
        <v>0.214</v>
      </c>
      <c r="F28">
        <v>276</v>
      </c>
      <c r="G28">
        <v>397</v>
      </c>
      <c r="H28">
        <v>-121</v>
      </c>
      <c r="I28" t="s">
        <v>32</v>
      </c>
      <c r="J28" t="s">
        <v>20</v>
      </c>
      <c r="K28" t="s">
        <v>21</v>
      </c>
      <c r="L28">
        <v>0</v>
      </c>
      <c r="M28" t="s">
        <v>193</v>
      </c>
      <c r="N28">
        <v>0.2</v>
      </c>
      <c r="O28" t="s">
        <v>28</v>
      </c>
      <c r="P28" t="s">
        <v>25</v>
      </c>
      <c r="Q28" t="s">
        <v>18</v>
      </c>
      <c r="T28" t="str">
        <f>Standings___Detailed_View[[#This Row],[NFL Team]]</f>
        <v>New York Jets
      Jets</v>
      </c>
    </row>
    <row r="29" spans="1:20" x14ac:dyDescent="0.35">
      <c r="A29" t="s">
        <v>169</v>
      </c>
      <c r="B29">
        <v>3</v>
      </c>
      <c r="C29">
        <v>11</v>
      </c>
      <c r="D29">
        <v>0</v>
      </c>
      <c r="E29">
        <v>0.214</v>
      </c>
      <c r="F29">
        <v>226</v>
      </c>
      <c r="G29">
        <v>332</v>
      </c>
      <c r="H29">
        <v>-106</v>
      </c>
      <c r="I29" t="s">
        <v>34</v>
      </c>
      <c r="J29" t="s">
        <v>37</v>
      </c>
      <c r="K29" t="s">
        <v>21</v>
      </c>
      <c r="L29">
        <v>0</v>
      </c>
      <c r="M29" t="s">
        <v>22</v>
      </c>
      <c r="N29">
        <v>0.222</v>
      </c>
      <c r="O29" t="s">
        <v>18</v>
      </c>
      <c r="P29" t="s">
        <v>190</v>
      </c>
      <c r="Q29" t="s">
        <v>18</v>
      </c>
      <c r="T29" t="str">
        <f>Standings___Detailed_View[[#This Row],[NFL Team]]</f>
        <v>Cleveland Browns
      Browns</v>
      </c>
    </row>
    <row r="30" spans="1:20" x14ac:dyDescent="0.35">
      <c r="A30" t="s">
        <v>170</v>
      </c>
      <c r="B30">
        <v>3</v>
      </c>
      <c r="C30">
        <v>11</v>
      </c>
      <c r="D30">
        <v>0</v>
      </c>
      <c r="E30">
        <v>0.214</v>
      </c>
      <c r="F30">
        <v>302</v>
      </c>
      <c r="G30">
        <v>388</v>
      </c>
      <c r="H30">
        <v>-86</v>
      </c>
      <c r="I30" t="s">
        <v>37</v>
      </c>
      <c r="J30" t="s">
        <v>34</v>
      </c>
      <c r="K30" t="s">
        <v>19</v>
      </c>
      <c r="L30">
        <v>0</v>
      </c>
      <c r="M30" t="s">
        <v>189</v>
      </c>
      <c r="N30">
        <v>0.3</v>
      </c>
      <c r="O30" t="s">
        <v>21</v>
      </c>
      <c r="P30" t="s">
        <v>24</v>
      </c>
      <c r="Q30" t="s">
        <v>19</v>
      </c>
      <c r="T30" t="str">
        <f>Standings___Detailed_View[[#This Row],[NFL Team]]</f>
        <v>Arizona Cardinals
      Cardinals</v>
      </c>
    </row>
    <row r="31" spans="1:20" x14ac:dyDescent="0.35">
      <c r="A31" t="s">
        <v>174</v>
      </c>
      <c r="B31">
        <v>2</v>
      </c>
      <c r="C31">
        <v>12</v>
      </c>
      <c r="D31">
        <v>0</v>
      </c>
      <c r="E31">
        <v>0.14299999999999999</v>
      </c>
      <c r="F31">
        <v>225</v>
      </c>
      <c r="G31">
        <v>394</v>
      </c>
      <c r="H31">
        <v>-169</v>
      </c>
      <c r="I31" t="s">
        <v>17</v>
      </c>
      <c r="J31" t="s">
        <v>34</v>
      </c>
      <c r="K31" t="s">
        <v>19</v>
      </c>
      <c r="L31">
        <v>0</v>
      </c>
      <c r="M31" t="s">
        <v>194</v>
      </c>
      <c r="N31">
        <v>0.1</v>
      </c>
      <c r="O31" t="s">
        <v>28</v>
      </c>
      <c r="P31" t="s">
        <v>33</v>
      </c>
      <c r="Q31" t="s">
        <v>18</v>
      </c>
      <c r="T31" t="str">
        <f>Standings___Detailed_View[[#This Row],[NFL Team]]</f>
        <v>Tennessee Titans
      Titans</v>
      </c>
    </row>
    <row r="32" spans="1:20" x14ac:dyDescent="0.35">
      <c r="A32" t="s">
        <v>173</v>
      </c>
      <c r="B32">
        <v>2</v>
      </c>
      <c r="C32">
        <v>12</v>
      </c>
      <c r="D32">
        <v>0</v>
      </c>
      <c r="E32">
        <v>0.14299999999999999</v>
      </c>
      <c r="F32">
        <v>300</v>
      </c>
      <c r="G32">
        <v>396</v>
      </c>
      <c r="H32">
        <v>-96</v>
      </c>
      <c r="I32" t="s">
        <v>29</v>
      </c>
      <c r="J32" t="s">
        <v>27</v>
      </c>
      <c r="K32" t="s">
        <v>18</v>
      </c>
      <c r="L32">
        <v>0.2</v>
      </c>
      <c r="M32" t="s">
        <v>194</v>
      </c>
      <c r="N32">
        <v>0.1</v>
      </c>
      <c r="O32" t="s">
        <v>28</v>
      </c>
      <c r="P32" t="s">
        <v>195</v>
      </c>
      <c r="Q32" t="s">
        <v>19</v>
      </c>
      <c r="T32" t="str">
        <f>Standings___Detailed_View[[#This Row],[NFL Team]]</f>
        <v>New York Giants
      Giants</v>
      </c>
    </row>
    <row r="33" spans="1:20" x14ac:dyDescent="0.35">
      <c r="A33" t="s">
        <v>172</v>
      </c>
      <c r="B33">
        <v>2</v>
      </c>
      <c r="C33">
        <v>12</v>
      </c>
      <c r="D33">
        <v>0</v>
      </c>
      <c r="E33">
        <v>0.14299999999999999</v>
      </c>
      <c r="F33">
        <v>196</v>
      </c>
      <c r="G33">
        <v>363</v>
      </c>
      <c r="H33">
        <v>-167</v>
      </c>
      <c r="I33" t="s">
        <v>37</v>
      </c>
      <c r="J33" t="s">
        <v>37</v>
      </c>
      <c r="K33" t="s">
        <v>19</v>
      </c>
      <c r="L33">
        <v>0</v>
      </c>
      <c r="M33" t="s">
        <v>193</v>
      </c>
      <c r="N33">
        <v>0.2</v>
      </c>
      <c r="O33" t="s">
        <v>21</v>
      </c>
      <c r="P33" t="s">
        <v>195</v>
      </c>
      <c r="Q33" t="s">
        <v>19</v>
      </c>
      <c r="T33" t="str">
        <f>Standings___Detailed_View[[#This Row],[NFL Team]]</f>
        <v>Las Vegas Raiders
      Raiders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E1D7-6698-4858-BE07-18CF2031F2A4}">
  <dimension ref="A1:A33"/>
  <sheetViews>
    <sheetView tabSelected="1" workbookViewId="0">
      <selection activeCell="A11" sqref="A11"/>
    </sheetView>
  </sheetViews>
  <sheetFormatPr baseColWidth="10" defaultRowHeight="14.5" x14ac:dyDescent="0.35"/>
  <cols>
    <col min="1" max="1" width="28.453125" bestFit="1" customWidth="1"/>
    <col min="2" max="2" width="25.7265625" bestFit="1" customWidth="1"/>
  </cols>
  <sheetData>
    <row r="1" spans="1:1" x14ac:dyDescent="0.35">
      <c r="A1" t="s">
        <v>139</v>
      </c>
    </row>
    <row r="2" spans="1:1" x14ac:dyDescent="0.35">
      <c r="A2" t="s">
        <v>196</v>
      </c>
    </row>
    <row r="3" spans="1:1" x14ac:dyDescent="0.35">
      <c r="A3" t="s">
        <v>197</v>
      </c>
    </row>
    <row r="4" spans="1:1" x14ac:dyDescent="0.35">
      <c r="A4" t="s">
        <v>63</v>
      </c>
    </row>
    <row r="5" spans="1:1" x14ac:dyDescent="0.35">
      <c r="A5" t="s">
        <v>65</v>
      </c>
    </row>
    <row r="6" spans="1:1" x14ac:dyDescent="0.35">
      <c r="A6" t="s">
        <v>64</v>
      </c>
    </row>
    <row r="7" spans="1:1" x14ac:dyDescent="0.35">
      <c r="A7" t="s">
        <v>69</v>
      </c>
    </row>
    <row r="8" spans="1:1" x14ac:dyDescent="0.35">
      <c r="A8" t="s">
        <v>70</v>
      </c>
    </row>
    <row r="9" spans="1:1" x14ac:dyDescent="0.35">
      <c r="A9" t="s">
        <v>72</v>
      </c>
    </row>
    <row r="10" spans="1:1" x14ac:dyDescent="0.35">
      <c r="A10" t="s">
        <v>67</v>
      </c>
    </row>
    <row r="11" spans="1:1" x14ac:dyDescent="0.35">
      <c r="A11" t="s">
        <v>66</v>
      </c>
    </row>
    <row r="12" spans="1:1" x14ac:dyDescent="0.35">
      <c r="A12" t="s">
        <v>68</v>
      </c>
    </row>
    <row r="13" spans="1:1" x14ac:dyDescent="0.35">
      <c r="A13" t="s">
        <v>75</v>
      </c>
    </row>
    <row r="14" spans="1:1" x14ac:dyDescent="0.35">
      <c r="A14" t="s">
        <v>79</v>
      </c>
    </row>
    <row r="15" spans="1:1" x14ac:dyDescent="0.35">
      <c r="A15" t="s">
        <v>74</v>
      </c>
    </row>
    <row r="16" spans="1:1" x14ac:dyDescent="0.35">
      <c r="A16" t="s">
        <v>71</v>
      </c>
    </row>
    <row r="17" spans="1:1" x14ac:dyDescent="0.35">
      <c r="A17" t="s">
        <v>73</v>
      </c>
    </row>
    <row r="18" spans="1:1" x14ac:dyDescent="0.35">
      <c r="A18" t="s">
        <v>77</v>
      </c>
    </row>
    <row r="19" spans="1:1" x14ac:dyDescent="0.35">
      <c r="A19" t="s">
        <v>78</v>
      </c>
    </row>
    <row r="20" spans="1:1" x14ac:dyDescent="0.35">
      <c r="A20" t="s">
        <v>76</v>
      </c>
    </row>
    <row r="21" spans="1:1" x14ac:dyDescent="0.35">
      <c r="A21" t="s">
        <v>198</v>
      </c>
    </row>
    <row r="22" spans="1:1" x14ac:dyDescent="0.35">
      <c r="A22" t="s">
        <v>199</v>
      </c>
    </row>
    <row r="23" spans="1:1" x14ac:dyDescent="0.35">
      <c r="A23" t="s">
        <v>200</v>
      </c>
    </row>
    <row r="24" spans="1:1" x14ac:dyDescent="0.35">
      <c r="A24" t="s">
        <v>201</v>
      </c>
    </row>
    <row r="25" spans="1:1" x14ac:dyDescent="0.35">
      <c r="A25" t="s">
        <v>202</v>
      </c>
    </row>
    <row r="26" spans="1:1" x14ac:dyDescent="0.35">
      <c r="A26" t="s">
        <v>82</v>
      </c>
    </row>
    <row r="27" spans="1:1" x14ac:dyDescent="0.35">
      <c r="A27" t="s">
        <v>203</v>
      </c>
    </row>
    <row r="28" spans="1:1" x14ac:dyDescent="0.35">
      <c r="A28" t="s">
        <v>204</v>
      </c>
    </row>
    <row r="29" spans="1:1" x14ac:dyDescent="0.35">
      <c r="A29" t="s">
        <v>205</v>
      </c>
    </row>
    <row r="30" spans="1:1" x14ac:dyDescent="0.35">
      <c r="A30" t="s">
        <v>80</v>
      </c>
    </row>
    <row r="31" spans="1:1" x14ac:dyDescent="0.35">
      <c r="A31" t="s">
        <v>81</v>
      </c>
    </row>
    <row r="32" spans="1:1" x14ac:dyDescent="0.35">
      <c r="A32" t="s">
        <v>84</v>
      </c>
    </row>
    <row r="33" spans="1:1" x14ac:dyDescent="0.35">
      <c r="A33" t="s">
        <v>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3FF5-BFA3-4503-9906-D6816B204B02}">
  <dimension ref="B1:M33"/>
  <sheetViews>
    <sheetView workbookViewId="0">
      <selection activeCell="D5" sqref="D5"/>
    </sheetView>
  </sheetViews>
  <sheetFormatPr baseColWidth="10" defaultRowHeight="14.5" x14ac:dyDescent="0.35"/>
  <cols>
    <col min="2" max="2" width="4.36328125" bestFit="1" customWidth="1"/>
    <col min="3" max="3" width="4.1796875" bestFit="1" customWidth="1"/>
    <col min="4" max="4" width="4.08984375" bestFit="1" customWidth="1"/>
    <col min="5" max="5" width="6.36328125" bestFit="1" customWidth="1"/>
    <col min="6" max="6" width="8.54296875" bestFit="1" customWidth="1"/>
    <col min="7" max="7" width="5.81640625" bestFit="1" customWidth="1"/>
    <col min="8" max="8" width="6" bestFit="1" customWidth="1"/>
    <col min="9" max="9" width="7.90625" bestFit="1" customWidth="1"/>
    <col min="10" max="10" width="5.26953125" bestFit="1" customWidth="1"/>
    <col min="11" max="11" width="5.453125" bestFit="1" customWidth="1"/>
    <col min="12" max="12" width="7" bestFit="1" customWidth="1"/>
    <col min="13" max="13" width="4.26953125" bestFit="1" customWidth="1"/>
  </cols>
  <sheetData>
    <row r="1" spans="2:13" x14ac:dyDescent="0.35">
      <c r="B1" t="s">
        <v>85</v>
      </c>
      <c r="C1" t="s">
        <v>86</v>
      </c>
      <c r="D1" t="s">
        <v>87</v>
      </c>
      <c r="E1" t="s">
        <v>4</v>
      </c>
      <c r="F1" t="s">
        <v>88</v>
      </c>
      <c r="G1" t="s">
        <v>89</v>
      </c>
      <c r="H1" t="s">
        <v>90</v>
      </c>
      <c r="I1" t="s">
        <v>91</v>
      </c>
      <c r="J1" t="s">
        <v>6</v>
      </c>
      <c r="K1" t="s">
        <v>92</v>
      </c>
      <c r="L1" t="s">
        <v>93</v>
      </c>
      <c r="M1" t="s">
        <v>94</v>
      </c>
    </row>
    <row r="2" spans="2:13" x14ac:dyDescent="0.35">
      <c r="B2">
        <v>12</v>
      </c>
      <c r="C2">
        <v>2</v>
      </c>
      <c r="D2">
        <v>0</v>
      </c>
      <c r="E2">
        <v>0.85699999999999998</v>
      </c>
      <c r="F2" t="s">
        <v>206</v>
      </c>
      <c r="G2" t="s">
        <v>95</v>
      </c>
      <c r="H2" t="s">
        <v>124</v>
      </c>
      <c r="I2" t="s">
        <v>114</v>
      </c>
      <c r="J2">
        <v>342</v>
      </c>
      <c r="K2">
        <v>261</v>
      </c>
      <c r="L2">
        <v>81</v>
      </c>
      <c r="M2" t="s">
        <v>207</v>
      </c>
    </row>
    <row r="3" spans="2:13" x14ac:dyDescent="0.35">
      <c r="B3">
        <v>11</v>
      </c>
      <c r="C3">
        <v>3</v>
      </c>
      <c r="D3">
        <v>0</v>
      </c>
      <c r="E3">
        <v>0.78600000000000003</v>
      </c>
      <c r="F3" t="s">
        <v>116</v>
      </c>
      <c r="G3" t="s">
        <v>95</v>
      </c>
      <c r="H3" t="s">
        <v>124</v>
      </c>
      <c r="I3" t="s">
        <v>118</v>
      </c>
      <c r="J3">
        <v>420</v>
      </c>
      <c r="K3">
        <v>261</v>
      </c>
      <c r="L3">
        <v>159</v>
      </c>
      <c r="M3" t="s">
        <v>107</v>
      </c>
    </row>
    <row r="4" spans="2:13" x14ac:dyDescent="0.35">
      <c r="B4">
        <v>11</v>
      </c>
      <c r="C4">
        <v>3</v>
      </c>
      <c r="D4">
        <v>0</v>
      </c>
      <c r="E4">
        <v>0.78600000000000003</v>
      </c>
      <c r="F4" t="s">
        <v>106</v>
      </c>
      <c r="G4" t="s">
        <v>96</v>
      </c>
      <c r="H4" t="s">
        <v>124</v>
      </c>
      <c r="I4" t="s">
        <v>118</v>
      </c>
      <c r="J4">
        <v>382</v>
      </c>
      <c r="K4">
        <v>276</v>
      </c>
      <c r="L4">
        <v>106</v>
      </c>
      <c r="M4" t="s">
        <v>104</v>
      </c>
    </row>
    <row r="5" spans="2:13" x14ac:dyDescent="0.35">
      <c r="B5">
        <v>11</v>
      </c>
      <c r="C5">
        <v>3</v>
      </c>
      <c r="D5">
        <v>0</v>
      </c>
      <c r="E5">
        <v>0.78600000000000003</v>
      </c>
      <c r="F5" t="s">
        <v>95</v>
      </c>
      <c r="G5" t="s">
        <v>116</v>
      </c>
      <c r="H5" t="s">
        <v>105</v>
      </c>
      <c r="I5" t="s">
        <v>118</v>
      </c>
      <c r="J5">
        <v>405</v>
      </c>
      <c r="K5">
        <v>242</v>
      </c>
      <c r="L5">
        <v>163</v>
      </c>
      <c r="M5" t="s">
        <v>122</v>
      </c>
    </row>
    <row r="6" spans="2:13" x14ac:dyDescent="0.35">
      <c r="B6">
        <v>10</v>
      </c>
      <c r="C6">
        <v>4</v>
      </c>
      <c r="D6">
        <v>0</v>
      </c>
      <c r="E6">
        <v>0.71399999999999997</v>
      </c>
      <c r="F6" t="s">
        <v>102</v>
      </c>
      <c r="G6" t="s">
        <v>106</v>
      </c>
      <c r="H6" t="s">
        <v>120</v>
      </c>
      <c r="I6" t="s">
        <v>118</v>
      </c>
      <c r="J6">
        <v>365</v>
      </c>
      <c r="K6">
        <v>338</v>
      </c>
      <c r="L6">
        <v>27</v>
      </c>
      <c r="M6" t="s">
        <v>115</v>
      </c>
    </row>
    <row r="7" spans="2:13" x14ac:dyDescent="0.35">
      <c r="B7">
        <v>10</v>
      </c>
      <c r="C7">
        <v>4</v>
      </c>
      <c r="D7">
        <v>0</v>
      </c>
      <c r="E7">
        <v>0.71399999999999997</v>
      </c>
      <c r="F7" t="s">
        <v>97</v>
      </c>
      <c r="G7" t="s">
        <v>98</v>
      </c>
      <c r="H7" t="s">
        <v>124</v>
      </c>
      <c r="I7" t="s">
        <v>114</v>
      </c>
      <c r="J7">
        <v>376</v>
      </c>
      <c r="K7">
        <v>292</v>
      </c>
      <c r="L7">
        <v>84</v>
      </c>
      <c r="M7" t="s">
        <v>101</v>
      </c>
    </row>
    <row r="8" spans="2:13" x14ac:dyDescent="0.35">
      <c r="B8">
        <v>10</v>
      </c>
      <c r="C8">
        <v>4</v>
      </c>
      <c r="D8">
        <v>0</v>
      </c>
      <c r="E8">
        <v>0.71399999999999997</v>
      </c>
      <c r="F8" t="s">
        <v>97</v>
      </c>
      <c r="G8" t="s">
        <v>98</v>
      </c>
      <c r="H8" t="s">
        <v>208</v>
      </c>
      <c r="I8" t="s">
        <v>110</v>
      </c>
      <c r="J8">
        <v>315</v>
      </c>
      <c r="K8">
        <v>284</v>
      </c>
      <c r="L8">
        <v>31</v>
      </c>
      <c r="M8" t="s">
        <v>108</v>
      </c>
    </row>
    <row r="9" spans="2:13" x14ac:dyDescent="0.35">
      <c r="B9">
        <v>10</v>
      </c>
      <c r="C9">
        <v>4</v>
      </c>
      <c r="D9">
        <v>0</v>
      </c>
      <c r="E9">
        <v>0.71399999999999997</v>
      </c>
      <c r="F9" t="s">
        <v>116</v>
      </c>
      <c r="G9" t="s">
        <v>103</v>
      </c>
      <c r="H9" t="s">
        <v>109</v>
      </c>
      <c r="I9" t="s">
        <v>111</v>
      </c>
      <c r="J9">
        <v>411</v>
      </c>
      <c r="K9">
        <v>324</v>
      </c>
      <c r="L9">
        <v>87</v>
      </c>
      <c r="M9" t="s">
        <v>108</v>
      </c>
    </row>
    <row r="10" spans="2:13" x14ac:dyDescent="0.35">
      <c r="B10">
        <v>10</v>
      </c>
      <c r="C10">
        <v>4</v>
      </c>
      <c r="D10">
        <v>0</v>
      </c>
      <c r="E10">
        <v>0.71399999999999997</v>
      </c>
      <c r="F10" t="s">
        <v>98</v>
      </c>
      <c r="G10" t="s">
        <v>97</v>
      </c>
      <c r="H10" t="s">
        <v>100</v>
      </c>
      <c r="I10" t="s">
        <v>110</v>
      </c>
      <c r="J10">
        <v>344</v>
      </c>
      <c r="K10">
        <v>293</v>
      </c>
      <c r="L10">
        <v>51</v>
      </c>
      <c r="M10" t="s">
        <v>122</v>
      </c>
    </row>
    <row r="11" spans="2:13" x14ac:dyDescent="0.35">
      <c r="B11">
        <v>9</v>
      </c>
      <c r="C11">
        <v>4</v>
      </c>
      <c r="D11">
        <v>1</v>
      </c>
      <c r="E11">
        <v>0.67900000000000005</v>
      </c>
      <c r="F11" t="s">
        <v>95</v>
      </c>
      <c r="G11" t="s">
        <v>209</v>
      </c>
      <c r="H11" t="s">
        <v>113</v>
      </c>
      <c r="I11" t="s">
        <v>210</v>
      </c>
      <c r="J11">
        <v>348</v>
      </c>
      <c r="K11">
        <v>281</v>
      </c>
      <c r="L11">
        <v>67</v>
      </c>
      <c r="M11" t="s">
        <v>104</v>
      </c>
    </row>
    <row r="12" spans="2:13" x14ac:dyDescent="0.35">
      <c r="B12">
        <v>9</v>
      </c>
      <c r="C12">
        <v>5</v>
      </c>
      <c r="D12">
        <v>0</v>
      </c>
      <c r="E12">
        <v>0.64300000000000002</v>
      </c>
      <c r="F12" t="s">
        <v>95</v>
      </c>
      <c r="G12" t="s">
        <v>103</v>
      </c>
      <c r="H12" t="s">
        <v>105</v>
      </c>
      <c r="I12" t="s">
        <v>111</v>
      </c>
      <c r="J12">
        <v>320</v>
      </c>
      <c r="K12">
        <v>271</v>
      </c>
      <c r="L12">
        <v>49</v>
      </c>
      <c r="M12" t="s">
        <v>115</v>
      </c>
    </row>
    <row r="13" spans="2:13" x14ac:dyDescent="0.35">
      <c r="B13">
        <v>9</v>
      </c>
      <c r="C13">
        <v>5</v>
      </c>
      <c r="D13">
        <v>0</v>
      </c>
      <c r="E13">
        <v>0.64300000000000002</v>
      </c>
      <c r="F13" t="s">
        <v>95</v>
      </c>
      <c r="G13" t="s">
        <v>103</v>
      </c>
      <c r="H13" t="s">
        <v>100</v>
      </c>
      <c r="I13" t="s">
        <v>114</v>
      </c>
      <c r="J13">
        <v>323</v>
      </c>
      <c r="K13">
        <v>228</v>
      </c>
      <c r="L13">
        <v>95</v>
      </c>
      <c r="M13" t="s">
        <v>211</v>
      </c>
    </row>
    <row r="14" spans="2:13" x14ac:dyDescent="0.35">
      <c r="B14">
        <v>8</v>
      </c>
      <c r="C14">
        <v>6</v>
      </c>
      <c r="D14">
        <v>0</v>
      </c>
      <c r="E14">
        <v>0.57099999999999995</v>
      </c>
      <c r="F14" t="s">
        <v>106</v>
      </c>
      <c r="G14" t="s">
        <v>119</v>
      </c>
      <c r="H14" t="s">
        <v>124</v>
      </c>
      <c r="I14" t="s">
        <v>111</v>
      </c>
      <c r="J14">
        <v>336</v>
      </c>
      <c r="K14">
        <v>326</v>
      </c>
      <c r="L14">
        <v>10</v>
      </c>
      <c r="M14" t="s">
        <v>107</v>
      </c>
    </row>
    <row r="15" spans="2:13" x14ac:dyDescent="0.35">
      <c r="B15">
        <v>8</v>
      </c>
      <c r="C15">
        <v>6</v>
      </c>
      <c r="D15">
        <v>0</v>
      </c>
      <c r="E15">
        <v>0.57099999999999995</v>
      </c>
      <c r="F15" t="s">
        <v>95</v>
      </c>
      <c r="G15" t="s">
        <v>125</v>
      </c>
      <c r="H15" t="s">
        <v>120</v>
      </c>
      <c r="I15" t="s">
        <v>212</v>
      </c>
      <c r="J15">
        <v>428</v>
      </c>
      <c r="K15">
        <v>345</v>
      </c>
      <c r="L15">
        <v>83</v>
      </c>
      <c r="M15" t="s">
        <v>104</v>
      </c>
    </row>
    <row r="16" spans="2:13" x14ac:dyDescent="0.35">
      <c r="B16">
        <v>8</v>
      </c>
      <c r="C16">
        <v>6</v>
      </c>
      <c r="D16">
        <v>0</v>
      </c>
      <c r="E16">
        <v>0.57099999999999995</v>
      </c>
      <c r="F16" t="s">
        <v>116</v>
      </c>
      <c r="G16" t="s">
        <v>129</v>
      </c>
      <c r="H16" t="s">
        <v>105</v>
      </c>
      <c r="I16" t="s">
        <v>213</v>
      </c>
      <c r="J16">
        <v>392</v>
      </c>
      <c r="K16">
        <v>303</v>
      </c>
      <c r="L16">
        <v>89</v>
      </c>
      <c r="M16" t="s">
        <v>130</v>
      </c>
    </row>
    <row r="17" spans="2:13" x14ac:dyDescent="0.35">
      <c r="B17">
        <v>7</v>
      </c>
      <c r="C17">
        <v>7</v>
      </c>
      <c r="D17">
        <v>0</v>
      </c>
      <c r="E17">
        <v>0.5</v>
      </c>
      <c r="F17" t="s">
        <v>125</v>
      </c>
      <c r="G17" t="s">
        <v>103</v>
      </c>
      <c r="H17" t="s">
        <v>105</v>
      </c>
      <c r="I17" t="s">
        <v>212</v>
      </c>
      <c r="J17">
        <v>327</v>
      </c>
      <c r="K17">
        <v>354</v>
      </c>
      <c r="L17">
        <v>-27</v>
      </c>
      <c r="M17" t="s">
        <v>112</v>
      </c>
    </row>
    <row r="18" spans="2:13" x14ac:dyDescent="0.35">
      <c r="B18">
        <v>7</v>
      </c>
      <c r="C18">
        <v>7</v>
      </c>
      <c r="D18">
        <v>0</v>
      </c>
      <c r="E18">
        <v>0.5</v>
      </c>
      <c r="F18" t="s">
        <v>98</v>
      </c>
      <c r="G18" t="s">
        <v>214</v>
      </c>
      <c r="H18" t="s">
        <v>105</v>
      </c>
      <c r="I18" t="s">
        <v>215</v>
      </c>
      <c r="J18">
        <v>264</v>
      </c>
      <c r="K18">
        <v>317</v>
      </c>
      <c r="L18">
        <v>-53</v>
      </c>
      <c r="M18" t="s">
        <v>104</v>
      </c>
    </row>
    <row r="19" spans="2:13" x14ac:dyDescent="0.35">
      <c r="B19">
        <v>7</v>
      </c>
      <c r="C19">
        <v>7</v>
      </c>
      <c r="D19">
        <v>0</v>
      </c>
      <c r="E19">
        <v>0.5</v>
      </c>
      <c r="F19" t="s">
        <v>214</v>
      </c>
      <c r="G19" t="s">
        <v>98</v>
      </c>
      <c r="H19" t="s">
        <v>109</v>
      </c>
      <c r="I19" t="s">
        <v>212</v>
      </c>
      <c r="J19">
        <v>335</v>
      </c>
      <c r="K19">
        <v>320</v>
      </c>
      <c r="L19">
        <v>15</v>
      </c>
      <c r="M19" t="s">
        <v>115</v>
      </c>
    </row>
    <row r="20" spans="2:13" x14ac:dyDescent="0.35">
      <c r="B20">
        <v>6</v>
      </c>
      <c r="C20">
        <v>7</v>
      </c>
      <c r="D20">
        <v>1</v>
      </c>
      <c r="E20">
        <v>0.46400000000000002</v>
      </c>
      <c r="F20" t="s">
        <v>209</v>
      </c>
      <c r="G20" t="s">
        <v>129</v>
      </c>
      <c r="H20" t="s">
        <v>124</v>
      </c>
      <c r="I20" t="s">
        <v>216</v>
      </c>
      <c r="J20">
        <v>407</v>
      </c>
      <c r="K20">
        <v>420</v>
      </c>
      <c r="L20">
        <v>-13</v>
      </c>
      <c r="M20" t="s">
        <v>112</v>
      </c>
    </row>
    <row r="21" spans="2:13" x14ac:dyDescent="0.35">
      <c r="B21">
        <v>6</v>
      </c>
      <c r="C21">
        <v>8</v>
      </c>
      <c r="D21">
        <v>0</v>
      </c>
      <c r="E21">
        <v>0.42899999999999999</v>
      </c>
      <c r="F21" t="s">
        <v>106</v>
      </c>
      <c r="G21" t="s">
        <v>126</v>
      </c>
      <c r="H21" t="s">
        <v>120</v>
      </c>
      <c r="I21" t="s">
        <v>132</v>
      </c>
      <c r="J21">
        <v>328</v>
      </c>
      <c r="K21">
        <v>268</v>
      </c>
      <c r="L21">
        <v>60</v>
      </c>
      <c r="M21" t="s">
        <v>217</v>
      </c>
    </row>
    <row r="22" spans="2:13" x14ac:dyDescent="0.35">
      <c r="B22">
        <v>6</v>
      </c>
      <c r="C22">
        <v>8</v>
      </c>
      <c r="D22">
        <v>0</v>
      </c>
      <c r="E22">
        <v>0.42899999999999999</v>
      </c>
      <c r="F22" t="s">
        <v>103</v>
      </c>
      <c r="G22" t="s">
        <v>129</v>
      </c>
      <c r="H22" t="s">
        <v>109</v>
      </c>
      <c r="I22" t="s">
        <v>218</v>
      </c>
      <c r="J22">
        <v>296</v>
      </c>
      <c r="K22">
        <v>324</v>
      </c>
      <c r="L22">
        <v>-28</v>
      </c>
      <c r="M22" t="s">
        <v>104</v>
      </c>
    </row>
    <row r="23" spans="2:13" x14ac:dyDescent="0.35">
      <c r="B23">
        <v>6</v>
      </c>
      <c r="C23">
        <v>8</v>
      </c>
      <c r="D23">
        <v>0</v>
      </c>
      <c r="E23">
        <v>0.42899999999999999</v>
      </c>
      <c r="F23" t="s">
        <v>123</v>
      </c>
      <c r="G23" t="s">
        <v>121</v>
      </c>
      <c r="H23" t="s">
        <v>105</v>
      </c>
      <c r="I23" t="s">
        <v>219</v>
      </c>
      <c r="J23">
        <v>289</v>
      </c>
      <c r="K23">
        <v>307</v>
      </c>
      <c r="L23">
        <v>-18</v>
      </c>
      <c r="M23" t="s">
        <v>107</v>
      </c>
    </row>
    <row r="24" spans="2:13" x14ac:dyDescent="0.35">
      <c r="B24">
        <v>5</v>
      </c>
      <c r="C24">
        <v>9</v>
      </c>
      <c r="D24">
        <v>0</v>
      </c>
      <c r="E24">
        <v>0.35699999999999998</v>
      </c>
      <c r="F24" t="s">
        <v>123</v>
      </c>
      <c r="G24" t="s">
        <v>214</v>
      </c>
      <c r="H24" t="s">
        <v>117</v>
      </c>
      <c r="I24" t="s">
        <v>219</v>
      </c>
      <c r="J24">
        <v>281</v>
      </c>
      <c r="K24">
        <v>341</v>
      </c>
      <c r="L24">
        <v>-60</v>
      </c>
      <c r="M24" t="s">
        <v>115</v>
      </c>
    </row>
    <row r="25" spans="2:13" x14ac:dyDescent="0.35">
      <c r="B25">
        <v>4</v>
      </c>
      <c r="C25">
        <v>10</v>
      </c>
      <c r="D25">
        <v>0</v>
      </c>
      <c r="E25">
        <v>0.28599999999999998</v>
      </c>
      <c r="F25" t="s">
        <v>129</v>
      </c>
      <c r="G25" t="s">
        <v>129</v>
      </c>
      <c r="H25" t="s">
        <v>109</v>
      </c>
      <c r="I25" t="s">
        <v>220</v>
      </c>
      <c r="J25">
        <v>314</v>
      </c>
      <c r="K25">
        <v>437</v>
      </c>
      <c r="L25">
        <v>-123</v>
      </c>
      <c r="M25" t="s">
        <v>112</v>
      </c>
    </row>
    <row r="26" spans="2:13" x14ac:dyDescent="0.35">
      <c r="B26">
        <v>4</v>
      </c>
      <c r="C26">
        <v>10</v>
      </c>
      <c r="D26">
        <v>0</v>
      </c>
      <c r="E26">
        <v>0.28599999999999998</v>
      </c>
      <c r="F26" t="s">
        <v>129</v>
      </c>
      <c r="G26" t="s">
        <v>129</v>
      </c>
      <c r="H26" t="s">
        <v>109</v>
      </c>
      <c r="I26" t="s">
        <v>221</v>
      </c>
      <c r="J26">
        <v>226</v>
      </c>
      <c r="K26">
        <v>332</v>
      </c>
      <c r="L26">
        <v>-106</v>
      </c>
      <c r="M26" t="s">
        <v>107</v>
      </c>
    </row>
    <row r="27" spans="2:13" x14ac:dyDescent="0.35">
      <c r="B27">
        <v>4</v>
      </c>
      <c r="C27">
        <v>10</v>
      </c>
      <c r="D27">
        <v>0</v>
      </c>
      <c r="E27">
        <v>0.28599999999999998</v>
      </c>
      <c r="F27" t="s">
        <v>123</v>
      </c>
      <c r="G27" t="s">
        <v>128</v>
      </c>
      <c r="H27" t="s">
        <v>99</v>
      </c>
      <c r="I27" t="s">
        <v>134</v>
      </c>
      <c r="J27">
        <v>291</v>
      </c>
      <c r="K27">
        <v>375</v>
      </c>
      <c r="L27">
        <v>-84</v>
      </c>
      <c r="M27" t="s">
        <v>115</v>
      </c>
    </row>
    <row r="28" spans="2:13" x14ac:dyDescent="0.35">
      <c r="B28">
        <v>3</v>
      </c>
      <c r="C28">
        <v>11</v>
      </c>
      <c r="D28">
        <v>0</v>
      </c>
      <c r="E28">
        <v>0.214</v>
      </c>
      <c r="F28" t="s">
        <v>128</v>
      </c>
      <c r="G28" t="s">
        <v>126</v>
      </c>
      <c r="H28" t="s">
        <v>131</v>
      </c>
      <c r="I28" t="s">
        <v>222</v>
      </c>
      <c r="J28">
        <v>276</v>
      </c>
      <c r="K28">
        <v>397</v>
      </c>
      <c r="L28">
        <v>-121</v>
      </c>
      <c r="M28" t="s">
        <v>112</v>
      </c>
    </row>
    <row r="29" spans="2:13" x14ac:dyDescent="0.35">
      <c r="B29">
        <v>3</v>
      </c>
      <c r="C29">
        <v>11</v>
      </c>
      <c r="D29">
        <v>0</v>
      </c>
      <c r="E29">
        <v>0.214</v>
      </c>
      <c r="F29" t="s">
        <v>129</v>
      </c>
      <c r="G29" t="s">
        <v>133</v>
      </c>
      <c r="H29" t="s">
        <v>131</v>
      </c>
      <c r="I29" t="s">
        <v>134</v>
      </c>
      <c r="J29">
        <v>226</v>
      </c>
      <c r="K29">
        <v>332</v>
      </c>
      <c r="L29">
        <v>-106</v>
      </c>
      <c r="M29" t="s">
        <v>217</v>
      </c>
    </row>
    <row r="30" spans="2:13" x14ac:dyDescent="0.35">
      <c r="B30">
        <v>3</v>
      </c>
      <c r="C30">
        <v>11</v>
      </c>
      <c r="D30">
        <v>0</v>
      </c>
      <c r="E30">
        <v>0.214</v>
      </c>
      <c r="F30" t="s">
        <v>133</v>
      </c>
      <c r="G30" t="s">
        <v>129</v>
      </c>
      <c r="H30" t="s">
        <v>138</v>
      </c>
      <c r="I30" t="s">
        <v>218</v>
      </c>
      <c r="J30">
        <v>302</v>
      </c>
      <c r="K30">
        <v>388</v>
      </c>
      <c r="L30">
        <v>-86</v>
      </c>
      <c r="M30" t="s">
        <v>135</v>
      </c>
    </row>
    <row r="31" spans="2:13" x14ac:dyDescent="0.35">
      <c r="B31">
        <v>2</v>
      </c>
      <c r="C31">
        <v>12</v>
      </c>
      <c r="D31">
        <v>0</v>
      </c>
      <c r="E31">
        <v>0.14299999999999999</v>
      </c>
      <c r="F31" t="s">
        <v>133</v>
      </c>
      <c r="G31" t="s">
        <v>133</v>
      </c>
      <c r="H31" t="s">
        <v>138</v>
      </c>
      <c r="I31" t="s">
        <v>222</v>
      </c>
      <c r="J31">
        <v>196</v>
      </c>
      <c r="K31">
        <v>363</v>
      </c>
      <c r="L31">
        <v>-167</v>
      </c>
      <c r="M31" t="s">
        <v>223</v>
      </c>
    </row>
    <row r="32" spans="2:13" x14ac:dyDescent="0.35">
      <c r="B32">
        <v>2</v>
      </c>
      <c r="C32">
        <v>12</v>
      </c>
      <c r="D32">
        <v>0</v>
      </c>
      <c r="E32">
        <v>0.14299999999999999</v>
      </c>
      <c r="F32" t="s">
        <v>137</v>
      </c>
      <c r="G32" t="s">
        <v>129</v>
      </c>
      <c r="H32" t="s">
        <v>138</v>
      </c>
      <c r="I32" t="s">
        <v>224</v>
      </c>
      <c r="J32">
        <v>225</v>
      </c>
      <c r="K32">
        <v>394</v>
      </c>
      <c r="L32">
        <v>-169</v>
      </c>
      <c r="M32" t="s">
        <v>104</v>
      </c>
    </row>
    <row r="33" spans="2:13" x14ac:dyDescent="0.35">
      <c r="B33">
        <v>2</v>
      </c>
      <c r="C33">
        <v>12</v>
      </c>
      <c r="D33">
        <v>0</v>
      </c>
      <c r="E33">
        <v>0.14299999999999999</v>
      </c>
      <c r="F33" t="s">
        <v>123</v>
      </c>
      <c r="G33" t="s">
        <v>136</v>
      </c>
      <c r="H33" t="s">
        <v>127</v>
      </c>
      <c r="I33" t="s">
        <v>224</v>
      </c>
      <c r="J33">
        <v>300</v>
      </c>
      <c r="K33">
        <v>396</v>
      </c>
      <c r="L33">
        <v>-96</v>
      </c>
      <c r="M33" t="s">
        <v>223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13E0-BFD1-4E4D-92CD-BD4BE53E84EA}">
  <dimension ref="A1:H33"/>
  <sheetViews>
    <sheetView workbookViewId="0">
      <selection activeCell="H8" sqref="H8"/>
    </sheetView>
  </sheetViews>
  <sheetFormatPr baseColWidth="10" defaultRowHeight="14.5" x14ac:dyDescent="0.35"/>
  <cols>
    <col min="1" max="1" width="6.36328125" bestFit="1" customWidth="1"/>
    <col min="2" max="2" width="19.7265625" customWidth="1"/>
    <col min="3" max="4" width="12.7265625" bestFit="1" customWidth="1"/>
    <col min="5" max="5" width="14.7265625" bestFit="1" customWidth="1"/>
    <col min="6" max="6" width="5.36328125" customWidth="1"/>
    <col min="7" max="7" width="6.36328125" bestFit="1" customWidth="1"/>
    <col min="8" max="8" width="28.7265625" customWidth="1"/>
    <col min="9" max="9" width="11.90625" customWidth="1"/>
  </cols>
  <sheetData>
    <row r="1" spans="1:8" x14ac:dyDescent="0.35">
      <c r="A1" s="1" t="s">
        <v>175</v>
      </c>
      <c r="B1" s="1" t="s">
        <v>140</v>
      </c>
      <c r="C1" s="1" t="s">
        <v>141</v>
      </c>
      <c r="D1" s="1" t="s">
        <v>142</v>
      </c>
      <c r="E1" s="1" t="s">
        <v>143</v>
      </c>
      <c r="G1" s="2" t="s">
        <v>175</v>
      </c>
      <c r="H1" s="2" t="s">
        <v>144</v>
      </c>
    </row>
    <row r="2" spans="1:8" x14ac:dyDescent="0.35">
      <c r="A2" s="1">
        <v>1</v>
      </c>
      <c r="B2" t="str">
        <f>Standings___Detailed_View[[#This Row],[NFL Team]]</f>
        <v>Denver Broncos
      x
      Broncos
      x</v>
      </c>
      <c r="C2" s="1">
        <f>Standings___Detailed_View[[#This Row],[W]]</f>
        <v>12</v>
      </c>
      <c r="D2" s="1">
        <f>Standings___Detailed_View[[#This Row],[L]]</f>
        <v>2</v>
      </c>
      <c r="E2" s="1">
        <f>Standings___Detailed_View[[#This Row],[T]]</f>
        <v>0</v>
      </c>
      <c r="G2" s="1">
        <v>1</v>
      </c>
      <c r="H2" t="str">
        <f>Tabla_1[[#This Row],[Equipos]]</f>
        <v>x --DENDenver Broncos</v>
      </c>
    </row>
    <row r="3" spans="1:8" x14ac:dyDescent="0.35">
      <c r="A3" s="1">
        <v>2</v>
      </c>
      <c r="B3" t="str">
        <f>Standings___Detailed_View[[#This Row],[NFL Team]]</f>
        <v>New England Patriots
      Patriots</v>
      </c>
      <c r="C3" s="1">
        <f>Standings___Detailed_View[[#This Row],[W]]</f>
        <v>11</v>
      </c>
      <c r="D3" s="1">
        <f>Standings___Detailed_View[[#This Row],[L]]</f>
        <v>3</v>
      </c>
      <c r="E3" s="1">
        <f>Standings___Detailed_View[[#This Row],[T]]</f>
        <v>0</v>
      </c>
      <c r="G3" s="1">
        <v>2</v>
      </c>
      <c r="H3" t="str">
        <f>Tabla_1[[#This Row],[Equipos]]</f>
        <v>x --LARLos Angeles Rams</v>
      </c>
    </row>
    <row r="4" spans="1:8" x14ac:dyDescent="0.35">
      <c r="A4" s="1">
        <v>3</v>
      </c>
      <c r="B4" t="str">
        <f>Standings___Detailed_View[[#This Row],[NFL Team]]</f>
        <v>Los Angeles Rams
      x
      Rams
      x</v>
      </c>
      <c r="C4" s="1">
        <f>Standings___Detailed_View[[#This Row],[W]]</f>
        <v>11</v>
      </c>
      <c r="D4" s="1">
        <f>Standings___Detailed_View[[#This Row],[L]]</f>
        <v>3</v>
      </c>
      <c r="E4" s="1">
        <f>Standings___Detailed_View[[#This Row],[T]]</f>
        <v>0</v>
      </c>
      <c r="G4" s="1">
        <v>3</v>
      </c>
      <c r="H4" t="str">
        <f>Tabla_1[[#This Row],[Equipos]]</f>
        <v>NENew England Patriots</v>
      </c>
    </row>
    <row r="5" spans="1:8" x14ac:dyDescent="0.35">
      <c r="A5" s="1">
        <v>4</v>
      </c>
      <c r="B5" t="str">
        <f>Standings___Detailed_View[[#This Row],[NFL Team]]</f>
        <v>Seattle Seahawks
      Seahawks</v>
      </c>
      <c r="C5" s="1">
        <f>Standings___Detailed_View[[#This Row],[W]]</f>
        <v>11</v>
      </c>
      <c r="D5" s="1">
        <f>Standings___Detailed_View[[#This Row],[L]]</f>
        <v>3</v>
      </c>
      <c r="E5" s="1">
        <f>Standings___Detailed_View[[#This Row],[T]]</f>
        <v>0</v>
      </c>
      <c r="G5" s="1">
        <v>4</v>
      </c>
      <c r="H5" t="str">
        <f>Tabla_1[[#This Row],[Equipos]]</f>
        <v>SEASeattle Seahawks</v>
      </c>
    </row>
    <row r="6" spans="1:8" x14ac:dyDescent="0.35">
      <c r="A6" s="1">
        <v>5</v>
      </c>
      <c r="B6" t="str">
        <f>Standings___Detailed_View[[#This Row],[NFL Team]]</f>
        <v>San Francisco 49ers
      49ers</v>
      </c>
      <c r="C6" s="1">
        <f>Standings___Detailed_View[[#This Row],[W]]</f>
        <v>10</v>
      </c>
      <c r="D6" s="1">
        <f>Standings___Detailed_View[[#This Row],[L]]</f>
        <v>4</v>
      </c>
      <c r="E6" s="1">
        <f>Standings___Detailed_View[[#This Row],[T]]</f>
        <v>0</v>
      </c>
      <c r="G6" s="1">
        <v>5</v>
      </c>
      <c r="H6" t="str">
        <f>Tabla_1[[#This Row],[Equipos]]</f>
        <v>CHIChicago Bears</v>
      </c>
    </row>
    <row r="7" spans="1:8" x14ac:dyDescent="0.35">
      <c r="A7" s="1">
        <v>6</v>
      </c>
      <c r="B7" t="str">
        <f>Standings___Detailed_View[[#This Row],[NFL Team]]</f>
        <v>Los Angeles Chargers
      Chargers</v>
      </c>
      <c r="C7" s="1">
        <f>Standings___Detailed_View[[#This Row],[W]]</f>
        <v>10</v>
      </c>
      <c r="D7" s="1">
        <f>Standings___Detailed_View[[#This Row],[L]]</f>
        <v>4</v>
      </c>
      <c r="E7" s="1">
        <f>Standings___Detailed_View[[#This Row],[T]]</f>
        <v>0</v>
      </c>
      <c r="G7" s="1">
        <v>6</v>
      </c>
      <c r="H7" t="str">
        <f>Tabla_1[[#This Row],[Equipos]]</f>
        <v>JAXJacksonville Jaguars</v>
      </c>
    </row>
    <row r="8" spans="1:8" x14ac:dyDescent="0.35">
      <c r="A8" s="1">
        <v>7</v>
      </c>
      <c r="B8" t="str">
        <f>Standings___Detailed_View[[#This Row],[NFL Team]]</f>
        <v>Jacksonville Jaguars
      Jaguars</v>
      </c>
      <c r="C8" s="1">
        <f>Standings___Detailed_View[[#This Row],[W]]</f>
        <v>10</v>
      </c>
      <c r="D8" s="1">
        <f>Standings___Detailed_View[[#This Row],[L]]</f>
        <v>4</v>
      </c>
      <c r="E8" s="1">
        <f>Standings___Detailed_View[[#This Row],[T]]</f>
        <v>0</v>
      </c>
      <c r="G8" s="1">
        <v>7</v>
      </c>
      <c r="H8" t="str">
        <f>Tabla_1[[#This Row],[Equipos]]</f>
        <v>LACLos Angeles Chargers</v>
      </c>
    </row>
    <row r="9" spans="1:8" x14ac:dyDescent="0.35">
      <c r="A9" s="1">
        <v>8</v>
      </c>
      <c r="B9" t="str">
        <f>Standings___Detailed_View[[#This Row],[NFL Team]]</f>
        <v>Chicago Bears
      Bears</v>
      </c>
      <c r="C9" s="1">
        <f>Standings___Detailed_View[[#This Row],[W]]</f>
        <v>10</v>
      </c>
      <c r="D9" s="1">
        <f>Standings___Detailed_View[[#This Row],[L]]</f>
        <v>4</v>
      </c>
      <c r="E9" s="1">
        <f>Standings___Detailed_View[[#This Row],[T]]</f>
        <v>0</v>
      </c>
      <c r="G9" s="1">
        <v>8</v>
      </c>
      <c r="H9" t="str">
        <f>Tabla_1[[#This Row],[Equipos]]</f>
        <v>BUFBuffalo Bills</v>
      </c>
    </row>
    <row r="10" spans="1:8" x14ac:dyDescent="0.35">
      <c r="A10" s="1">
        <v>9</v>
      </c>
      <c r="B10" t="str">
        <f>Standings___Detailed_View[[#This Row],[NFL Team]]</f>
        <v>Buffalo Bills
      Bills</v>
      </c>
      <c r="C10" s="1">
        <f>Standings___Detailed_View[[#This Row],[W]]</f>
        <v>10</v>
      </c>
      <c r="D10" s="1">
        <f>Standings___Detailed_View[[#This Row],[L]]</f>
        <v>4</v>
      </c>
      <c r="E10" s="1">
        <f>Standings___Detailed_View[[#This Row],[T]]</f>
        <v>0</v>
      </c>
      <c r="G10" s="1">
        <v>9</v>
      </c>
      <c r="H10" t="str">
        <f>Tabla_1[[#This Row],[Equipos]]</f>
        <v>SFSan Francisco 49ers</v>
      </c>
    </row>
    <row r="11" spans="1:8" x14ac:dyDescent="0.35">
      <c r="A11" s="1">
        <v>10</v>
      </c>
      <c r="B11" t="str">
        <f>Standings___Detailed_View[[#This Row],[NFL Team]]</f>
        <v>Green Bay Packers
      Packers</v>
      </c>
      <c r="C11" s="1">
        <f>Standings___Detailed_View[[#This Row],[W]]</f>
        <v>9</v>
      </c>
      <c r="D11" s="1">
        <f>Standings___Detailed_View[[#This Row],[L]]</f>
        <v>4</v>
      </c>
      <c r="E11" s="1">
        <f>Standings___Detailed_View[[#This Row],[T]]</f>
        <v>1</v>
      </c>
      <c r="G11" s="1">
        <v>10</v>
      </c>
      <c r="H11" t="str">
        <f>Tabla_1[[#This Row],[Equipos]]</f>
        <v>GBGreen Bay Packers</v>
      </c>
    </row>
    <row r="12" spans="1:8" x14ac:dyDescent="0.35">
      <c r="A12" s="1">
        <v>11</v>
      </c>
      <c r="B12" t="str">
        <f>Standings___Detailed_View[[#This Row],[NFL Team]]</f>
        <v>Philadelphia Eagles
      Eagles</v>
      </c>
      <c r="C12" s="1">
        <f>Standings___Detailed_View[[#This Row],[W]]</f>
        <v>9</v>
      </c>
      <c r="D12" s="1">
        <f>Standings___Detailed_View[[#This Row],[L]]</f>
        <v>5</v>
      </c>
      <c r="E12" s="1">
        <f>Standings___Detailed_View[[#This Row],[T]]</f>
        <v>0</v>
      </c>
      <c r="G12" s="1">
        <v>11</v>
      </c>
      <c r="H12" t="str">
        <f>Tabla_1[[#This Row],[Equipos]]</f>
        <v>PHIPhiladelphia Eagles</v>
      </c>
    </row>
    <row r="13" spans="1:8" x14ac:dyDescent="0.35">
      <c r="A13" s="1">
        <v>12</v>
      </c>
      <c r="B13" t="str">
        <f>Standings___Detailed_View[[#This Row],[NFL Team]]</f>
        <v>Houston Texans
      Texans</v>
      </c>
      <c r="C13" s="1">
        <f>Standings___Detailed_View[[#This Row],[W]]</f>
        <v>9</v>
      </c>
      <c r="D13" s="1">
        <f>Standings___Detailed_View[[#This Row],[L]]</f>
        <v>5</v>
      </c>
      <c r="E13" s="1">
        <f>Standings___Detailed_View[[#This Row],[T]]</f>
        <v>0</v>
      </c>
      <c r="G13" s="1">
        <v>12</v>
      </c>
      <c r="H13" t="str">
        <f>Tabla_1[[#This Row],[Equipos]]</f>
        <v>HOUHouston Texans</v>
      </c>
    </row>
    <row r="14" spans="1:8" x14ac:dyDescent="0.35">
      <c r="A14" s="1">
        <v>13</v>
      </c>
      <c r="B14" t="str">
        <f>Standings___Detailed_View[[#This Row],[NFL Team]]</f>
        <v>Pittsburgh Steelers
      Steelers</v>
      </c>
      <c r="C14" s="1">
        <f>Standings___Detailed_View[[#This Row],[W]]</f>
        <v>8</v>
      </c>
      <c r="D14" s="1">
        <f>Standings___Detailed_View[[#This Row],[L]]</f>
        <v>6</v>
      </c>
      <c r="E14" s="1">
        <f>Standings___Detailed_View[[#This Row],[T]]</f>
        <v>0</v>
      </c>
      <c r="G14" s="1">
        <v>13</v>
      </c>
      <c r="H14" t="str">
        <f>Tabla_1[[#This Row],[Equipos]]</f>
        <v>PITPittsburgh Steelers</v>
      </c>
    </row>
    <row r="15" spans="1:8" x14ac:dyDescent="0.35">
      <c r="A15" s="1">
        <v>14</v>
      </c>
      <c r="B15" t="str">
        <f>Standings___Detailed_View[[#This Row],[NFL Team]]</f>
        <v>Indianapolis Colts
      Colts</v>
      </c>
      <c r="C15" s="1">
        <f>Standings___Detailed_View[[#This Row],[W]]</f>
        <v>8</v>
      </c>
      <c r="D15" s="1">
        <f>Standings___Detailed_View[[#This Row],[L]]</f>
        <v>6</v>
      </c>
      <c r="E15" s="1">
        <f>Standings___Detailed_View[[#This Row],[T]]</f>
        <v>0</v>
      </c>
      <c r="G15" s="1">
        <v>14</v>
      </c>
      <c r="H15" t="str">
        <f>Tabla_1[[#This Row],[Equipos]]</f>
        <v>DETDetroit Lions</v>
      </c>
    </row>
    <row r="16" spans="1:8" x14ac:dyDescent="0.35">
      <c r="A16" s="1">
        <v>15</v>
      </c>
      <c r="B16" t="str">
        <f>Standings___Detailed_View[[#This Row],[NFL Team]]</f>
        <v>Detroit Lions
      Lions</v>
      </c>
      <c r="C16" s="1">
        <f>Standings___Detailed_View[[#This Row],[W]]</f>
        <v>8</v>
      </c>
      <c r="D16" s="1">
        <f>Standings___Detailed_View[[#This Row],[L]]</f>
        <v>6</v>
      </c>
      <c r="E16" s="1">
        <f>Standings___Detailed_View[[#This Row],[T]]</f>
        <v>0</v>
      </c>
      <c r="G16" s="1">
        <v>15</v>
      </c>
      <c r="H16" t="str">
        <f>Tabla_1[[#This Row],[Equipos]]</f>
        <v>INDIndianapolis Colts</v>
      </c>
    </row>
    <row r="17" spans="1:8" x14ac:dyDescent="0.35">
      <c r="A17" s="1">
        <v>16</v>
      </c>
      <c r="B17" t="str">
        <f>Standings___Detailed_View[[#This Row],[NFL Team]]</f>
        <v>Tampa Bay Buccaneers
      Buccaneers</v>
      </c>
      <c r="C17" s="1">
        <f>Standings___Detailed_View[[#This Row],[W]]</f>
        <v>7</v>
      </c>
      <c r="D17" s="1">
        <f>Standings___Detailed_View[[#This Row],[L]]</f>
        <v>7</v>
      </c>
      <c r="E17" s="1">
        <f>Standings___Detailed_View[[#This Row],[T]]</f>
        <v>0</v>
      </c>
      <c r="G17" s="1">
        <v>16</v>
      </c>
      <c r="H17" t="str">
        <f>Tabla_1[[#This Row],[Equipos]]</f>
        <v>TBTampa Bay Buccaneers</v>
      </c>
    </row>
    <row r="18" spans="1:8" x14ac:dyDescent="0.35">
      <c r="A18" s="1">
        <v>17</v>
      </c>
      <c r="B18" t="str">
        <f>Standings___Detailed_View[[#This Row],[NFL Team]]</f>
        <v>Carolina Panthers
      Panthers</v>
      </c>
      <c r="C18" s="1">
        <f>Standings___Detailed_View[[#This Row],[W]]</f>
        <v>7</v>
      </c>
      <c r="D18" s="1">
        <f>Standings___Detailed_View[[#This Row],[L]]</f>
        <v>7</v>
      </c>
      <c r="E18" s="1">
        <f>Standings___Detailed_View[[#This Row],[T]]</f>
        <v>0</v>
      </c>
      <c r="G18" s="1">
        <v>17</v>
      </c>
      <c r="H18" t="str">
        <f>Tabla_1[[#This Row],[Equipos]]</f>
        <v>CARCarolina Panthers</v>
      </c>
    </row>
    <row r="19" spans="1:8" x14ac:dyDescent="0.35">
      <c r="A19" s="1">
        <v>18</v>
      </c>
      <c r="B19" t="str">
        <f>Standings___Detailed_View[[#This Row],[NFL Team]]</f>
        <v>Baltimore Ravens
      Ravens</v>
      </c>
      <c r="C19" s="1">
        <f>Standings___Detailed_View[[#This Row],[W]]</f>
        <v>7</v>
      </c>
      <c r="D19" s="1">
        <f>Standings___Detailed_View[[#This Row],[L]]</f>
        <v>7</v>
      </c>
      <c r="E19" s="1">
        <f>Standings___Detailed_View[[#This Row],[T]]</f>
        <v>0</v>
      </c>
      <c r="G19" s="1">
        <v>18</v>
      </c>
      <c r="H19" t="str">
        <f>Tabla_1[[#This Row],[Equipos]]</f>
        <v>BALBaltimore Ravens</v>
      </c>
    </row>
    <row r="20" spans="1:8" x14ac:dyDescent="0.35">
      <c r="A20" s="1">
        <v>19</v>
      </c>
      <c r="B20" t="str">
        <f>Standings___Detailed_View[[#This Row],[NFL Team]]</f>
        <v>Dallas Cowboys
      Cowboys</v>
      </c>
      <c r="C20" s="1">
        <f>Standings___Detailed_View[[#This Row],[W]]</f>
        <v>6</v>
      </c>
      <c r="D20" s="1">
        <f>Standings___Detailed_View[[#This Row],[L]]</f>
        <v>7</v>
      </c>
      <c r="E20" s="1">
        <f>Standings___Detailed_View[[#This Row],[T]]</f>
        <v>1</v>
      </c>
      <c r="G20" s="1">
        <v>19</v>
      </c>
      <c r="H20" t="str">
        <f>Tabla_1[[#This Row],[Equipos]]</f>
        <v>DALDallas Cowboys</v>
      </c>
    </row>
    <row r="21" spans="1:8" x14ac:dyDescent="0.35">
      <c r="A21" s="1">
        <v>20</v>
      </c>
      <c r="B21" t="str">
        <f>Standings___Detailed_View[[#This Row],[NFL Team]]</f>
        <v>Minnesota Vikings
      Vikings</v>
      </c>
      <c r="C21" s="1">
        <f>Standings___Detailed_View[[#This Row],[W]]</f>
        <v>6</v>
      </c>
      <c r="D21" s="1">
        <f>Standings___Detailed_View[[#This Row],[L]]</f>
        <v>8</v>
      </c>
      <c r="E21" s="1">
        <f>Standings___Detailed_View[[#This Row],[T]]</f>
        <v>0</v>
      </c>
      <c r="G21" s="1">
        <v>20</v>
      </c>
      <c r="H21" t="str">
        <f>Tabla_1[[#This Row],[Equipos]]</f>
        <v>e --KCKansas City Chiefs</v>
      </c>
    </row>
    <row r="22" spans="1:8" x14ac:dyDescent="0.35">
      <c r="A22" s="1">
        <v>21</v>
      </c>
      <c r="B22" t="str">
        <f>Standings___Detailed_View[[#This Row],[NFL Team]]</f>
        <v>Miami Dolphins
      Dolphins</v>
      </c>
      <c r="C22" s="1">
        <f>Standings___Detailed_View[[#This Row],[W]]</f>
        <v>6</v>
      </c>
      <c r="D22" s="1">
        <f>Standings___Detailed_View[[#This Row],[L]]</f>
        <v>8</v>
      </c>
      <c r="E22" s="1">
        <f>Standings___Detailed_View[[#This Row],[T]]</f>
        <v>0</v>
      </c>
      <c r="G22" s="1">
        <v>21</v>
      </c>
      <c r="H22" t="str">
        <f>Tabla_1[[#This Row],[Equipos]]</f>
        <v>e --MIAMiami Dolphins</v>
      </c>
    </row>
    <row r="23" spans="1:8" x14ac:dyDescent="0.35">
      <c r="A23" s="1">
        <v>22</v>
      </c>
      <c r="B23" t="str">
        <f>Standings___Detailed_View[[#This Row],[NFL Team]]</f>
        <v>Kansas City Chiefs
      Chiefs</v>
      </c>
      <c r="C23" s="1">
        <f>Standings___Detailed_View[[#This Row],[W]]</f>
        <v>6</v>
      </c>
      <c r="D23" s="1">
        <f>Standings___Detailed_View[[#This Row],[L]]</f>
        <v>8</v>
      </c>
      <c r="E23" s="1">
        <f>Standings___Detailed_View[[#This Row],[T]]</f>
        <v>0</v>
      </c>
      <c r="G23" s="1">
        <v>22</v>
      </c>
      <c r="H23" t="str">
        <f>Tabla_1[[#This Row],[Equipos]]</f>
        <v>e --MINMinnesota Vikings</v>
      </c>
    </row>
    <row r="24" spans="1:8" x14ac:dyDescent="0.35">
      <c r="A24" s="1">
        <v>23</v>
      </c>
      <c r="B24" t="str">
        <f>Standings___Detailed_View[[#This Row],[NFL Team]]</f>
        <v>Atlanta Falcons
      Falcons</v>
      </c>
      <c r="C24" s="1">
        <f>Standings___Detailed_View[[#This Row],[W]]</f>
        <v>5</v>
      </c>
      <c r="D24" s="1">
        <f>Standings___Detailed_View[[#This Row],[L]]</f>
        <v>9</v>
      </c>
      <c r="E24" s="1">
        <f>Standings___Detailed_View[[#This Row],[T]]</f>
        <v>0</v>
      </c>
      <c r="G24" s="1">
        <v>23</v>
      </c>
      <c r="H24" t="str">
        <f>Tabla_1[[#This Row],[Equipos]]</f>
        <v>e --ATLAtlanta Falcons</v>
      </c>
    </row>
    <row r="25" spans="1:8" x14ac:dyDescent="0.35">
      <c r="A25" s="1">
        <v>24</v>
      </c>
      <c r="B25" t="str">
        <f>Standings___Detailed_View[[#This Row],[NFL Team]]</f>
        <v>Washington Commanders
      Commanders</v>
      </c>
      <c r="C25" s="1">
        <f>Standings___Detailed_View[[#This Row],[W]]</f>
        <v>4</v>
      </c>
      <c r="D25" s="1">
        <f>Standings___Detailed_View[[#This Row],[L]]</f>
        <v>10</v>
      </c>
      <c r="E25" s="1">
        <f>Standings___Detailed_View[[#This Row],[T]]</f>
        <v>0</v>
      </c>
      <c r="G25" s="1">
        <v>24</v>
      </c>
      <c r="H25" t="str">
        <f>Tabla_1[[#This Row],[Equipos]]</f>
        <v>e --CINCincinnati Bengals</v>
      </c>
    </row>
    <row r="26" spans="1:8" x14ac:dyDescent="0.35">
      <c r="A26" s="1">
        <v>25</v>
      </c>
      <c r="B26" t="str">
        <f>Standings___Detailed_View[[#This Row],[NFL Team]]</f>
        <v>New Orleans Saints
      Saints</v>
      </c>
      <c r="C26" s="1">
        <f>Standings___Detailed_View[[#This Row],[W]]</f>
        <v>4</v>
      </c>
      <c r="D26" s="1">
        <f>Standings___Detailed_View[[#This Row],[L]]</f>
        <v>10</v>
      </c>
      <c r="E26" s="1">
        <f>Standings___Detailed_View[[#This Row],[T]]</f>
        <v>0</v>
      </c>
      <c r="G26" s="1">
        <v>25</v>
      </c>
      <c r="H26" t="str">
        <f>Tabla_1[[#This Row],[Equipos]]</f>
        <v>e --NONew Orleans Saints</v>
      </c>
    </row>
    <row r="27" spans="1:8" x14ac:dyDescent="0.35">
      <c r="A27" s="1">
        <v>26</v>
      </c>
      <c r="B27" t="str">
        <f>Standings___Detailed_View[[#This Row],[NFL Team]]</f>
        <v>Cincinnati Bengals
      Bengals</v>
      </c>
      <c r="C27" s="1">
        <f>Standings___Detailed_View[[#This Row],[W]]</f>
        <v>4</v>
      </c>
      <c r="D27" s="1">
        <f>Standings___Detailed_View[[#This Row],[L]]</f>
        <v>10</v>
      </c>
      <c r="E27" s="1">
        <f>Standings___Detailed_View[[#This Row],[T]]</f>
        <v>0</v>
      </c>
      <c r="G27" s="1">
        <v>26</v>
      </c>
      <c r="H27" t="str">
        <f>Tabla_1[[#This Row],[Equipos]]</f>
        <v>e --WSHWashington Commanders</v>
      </c>
    </row>
    <row r="28" spans="1:8" x14ac:dyDescent="0.35">
      <c r="A28" s="1">
        <v>27</v>
      </c>
      <c r="B28" t="str">
        <f>Standings___Detailed_View[[#This Row],[NFL Team]]</f>
        <v>New York Jets
      Jets</v>
      </c>
      <c r="C28" s="1">
        <f>Standings___Detailed_View[[#This Row],[W]]</f>
        <v>3</v>
      </c>
      <c r="D28" s="1">
        <f>Standings___Detailed_View[[#This Row],[L]]</f>
        <v>11</v>
      </c>
      <c r="E28" s="1">
        <f>Standings___Detailed_View[[#This Row],[T]]</f>
        <v>0</v>
      </c>
      <c r="G28" s="1">
        <v>27</v>
      </c>
      <c r="H28" t="str">
        <f>Tabla_1[[#This Row],[Equipos]]</f>
        <v>e --NYJNew York Jets</v>
      </c>
    </row>
    <row r="29" spans="1:8" x14ac:dyDescent="0.35">
      <c r="A29" s="1">
        <v>28</v>
      </c>
      <c r="B29" t="str">
        <f>Standings___Detailed_View[[#This Row],[NFL Team]]</f>
        <v>Cleveland Browns
      Browns</v>
      </c>
      <c r="C29" s="1">
        <f>Standings___Detailed_View[[#This Row],[W]]</f>
        <v>3</v>
      </c>
      <c r="D29" s="1">
        <f>Standings___Detailed_View[[#This Row],[L]]</f>
        <v>11</v>
      </c>
      <c r="E29" s="1">
        <f>Standings___Detailed_View[[#This Row],[T]]</f>
        <v>0</v>
      </c>
      <c r="G29" s="1">
        <v>28</v>
      </c>
      <c r="H29" t="str">
        <f>Tabla_1[[#This Row],[Equipos]]</f>
        <v>e --CLECleveland Browns</v>
      </c>
    </row>
    <row r="30" spans="1:8" x14ac:dyDescent="0.35">
      <c r="A30" s="1">
        <v>29</v>
      </c>
      <c r="B30" t="str">
        <f>Standings___Detailed_View[[#This Row],[NFL Team]]</f>
        <v>Arizona Cardinals
      Cardinals</v>
      </c>
      <c r="C30" s="1">
        <f>Standings___Detailed_View[[#This Row],[W]]</f>
        <v>3</v>
      </c>
      <c r="D30" s="1">
        <f>Standings___Detailed_View[[#This Row],[L]]</f>
        <v>11</v>
      </c>
      <c r="E30" s="1">
        <f>Standings___Detailed_View[[#This Row],[T]]</f>
        <v>0</v>
      </c>
      <c r="G30" s="1">
        <v>29</v>
      </c>
      <c r="H30" t="str">
        <f>Tabla_1[[#This Row],[Equipos]]</f>
        <v>e --ARIArizona Cardinals</v>
      </c>
    </row>
    <row r="31" spans="1:8" x14ac:dyDescent="0.35">
      <c r="A31" s="1">
        <v>30</v>
      </c>
      <c r="B31" t="str">
        <f>Standings___Detailed_View[[#This Row],[NFL Team]]</f>
        <v>Tennessee Titans
      Titans</v>
      </c>
      <c r="C31" s="1">
        <f>Standings___Detailed_View[[#This Row],[W]]</f>
        <v>2</v>
      </c>
      <c r="D31" s="1">
        <f>Standings___Detailed_View[[#This Row],[L]]</f>
        <v>12</v>
      </c>
      <c r="E31" s="1">
        <f>Standings___Detailed_View[[#This Row],[T]]</f>
        <v>0</v>
      </c>
      <c r="G31" s="1">
        <v>30</v>
      </c>
      <c r="H31" t="str">
        <f>Tabla_1[[#This Row],[Equipos]]</f>
        <v>e --LVLas Vegas Raiders</v>
      </c>
    </row>
    <row r="32" spans="1:8" x14ac:dyDescent="0.35">
      <c r="A32" s="1">
        <v>31</v>
      </c>
      <c r="B32" t="str">
        <f>Standings___Detailed_View[[#This Row],[NFL Team]]</f>
        <v>New York Giants
      Giants</v>
      </c>
      <c r="C32" s="1">
        <f>Standings___Detailed_View[[#This Row],[W]]</f>
        <v>2</v>
      </c>
      <c r="D32" s="1">
        <f>Standings___Detailed_View[[#This Row],[L]]</f>
        <v>12</v>
      </c>
      <c r="E32" s="1">
        <f>Standings___Detailed_View[[#This Row],[T]]</f>
        <v>0</v>
      </c>
      <c r="G32" s="1">
        <v>31</v>
      </c>
      <c r="H32" t="str">
        <f>Tabla_1[[#This Row],[Equipos]]</f>
        <v>e --TENTennessee Titans</v>
      </c>
    </row>
    <row r="33" spans="1:8" x14ac:dyDescent="0.35">
      <c r="A33" s="1">
        <v>32</v>
      </c>
      <c r="B33" t="str">
        <f>Standings___Detailed_View[[#This Row],[NFL Team]]</f>
        <v>Las Vegas Raiders
      Raiders</v>
      </c>
      <c r="C33" s="1">
        <f>Standings___Detailed_View[[#This Row],[W]]</f>
        <v>2</v>
      </c>
      <c r="D33" s="1">
        <f>Standings___Detailed_View[[#This Row],[L]]</f>
        <v>12</v>
      </c>
      <c r="E33" s="1">
        <f>Standings___Detailed_View[[#This Row],[T]]</f>
        <v>0</v>
      </c>
      <c r="G33" s="1">
        <v>32</v>
      </c>
      <c r="H33" t="str">
        <f>Tabla_1[[#This Row],[Equipos]]</f>
        <v>e --NYGNew York Giants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8C5DDA-BC9A-4A5A-82D2-8E7D899C75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Standings - Detailed View</vt:lpstr>
      <vt:lpstr>Tabla 1</vt:lpstr>
      <vt:lpstr>Tabla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Abraham Ayala Siqueiros</dc:creator>
  <cp:lastModifiedBy>Gerardo Abraham Ayala Siqueiros</cp:lastModifiedBy>
  <dcterms:created xsi:type="dcterms:W3CDTF">2025-12-02T16:39:02Z</dcterms:created>
  <dcterms:modified xsi:type="dcterms:W3CDTF">2025-12-23T17:07:16Z</dcterms:modified>
</cp:coreProperties>
</file>